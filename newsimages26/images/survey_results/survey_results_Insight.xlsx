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63406921-28DE-4531-974E-52C973ED709F}" xr6:coauthVersionLast="47" xr6:coauthVersionMax="47" xr10:uidLastSave="{00000000-0000-0000-0000-000000000000}"/>
  <bookViews>
    <workbookView xWindow="-120" yWindow="-120" windowWidth="29040" windowHeight="17520" xr2:uid="{0733BD02-6F93-4A20-9C5E-7366CB490FEF}"/>
  </bookViews>
  <sheets>
    <sheet name="Ins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74" i="1" l="1"/>
  <c r="AD74" i="1"/>
  <c r="AB74" i="1"/>
  <c r="AA74" i="1"/>
  <c r="Z74" i="1"/>
  <c r="Y74" i="1"/>
  <c r="P74" i="1"/>
  <c r="O74" i="1"/>
  <c r="M74" i="1"/>
  <c r="L74" i="1"/>
  <c r="K74" i="1"/>
  <c r="J74" i="1"/>
  <c r="AA73" i="1"/>
  <c r="L73" i="1"/>
  <c r="J73" i="1"/>
  <c r="AG71" i="1"/>
  <c r="AF71" i="1"/>
  <c r="AE71" i="1"/>
  <c r="AE73" i="1" s="1"/>
  <c r="AD71" i="1"/>
  <c r="AD73" i="1" s="1"/>
  <c r="AB71" i="1"/>
  <c r="AB73" i="1" s="1"/>
  <c r="AA71" i="1"/>
  <c r="Z71" i="1"/>
  <c r="Z73" i="1" s="1"/>
  <c r="Y71" i="1"/>
  <c r="Y73" i="1" s="1"/>
  <c r="W71" i="1"/>
  <c r="V71" i="1"/>
  <c r="U71" i="1"/>
  <c r="T71" i="1"/>
  <c r="R71" i="1"/>
  <c r="Q71" i="1"/>
  <c r="P71" i="1"/>
  <c r="P73" i="1" s="1"/>
  <c r="O71" i="1"/>
  <c r="O73" i="1" s="1"/>
  <c r="M71" i="1"/>
  <c r="M73" i="1" s="1"/>
  <c r="L71" i="1"/>
  <c r="K71" i="1"/>
  <c r="K73" i="1" s="1"/>
  <c r="J71" i="1"/>
  <c r="H71" i="1"/>
  <c r="G71" i="1"/>
  <c r="F71" i="1"/>
  <c r="E71" i="1"/>
  <c r="AG36" i="1"/>
  <c r="AF36" i="1"/>
  <c r="AE36" i="1"/>
  <c r="AD36" i="1"/>
  <c r="AB36" i="1"/>
  <c r="AA36" i="1"/>
  <c r="Z36" i="1"/>
  <c r="Y36" i="1"/>
  <c r="W36" i="1"/>
  <c r="V36" i="1"/>
  <c r="U36" i="1"/>
  <c r="T36" i="1"/>
  <c r="R36" i="1"/>
  <c r="Q36" i="1"/>
  <c r="P36" i="1"/>
  <c r="O36" i="1"/>
  <c r="M36" i="1"/>
  <c r="L36" i="1"/>
  <c r="K36" i="1"/>
  <c r="J36" i="1"/>
  <c r="H36" i="1"/>
  <c r="G36" i="1"/>
  <c r="F36" i="1"/>
  <c r="E36" i="1"/>
  <c r="AG29" i="1"/>
  <c r="AF29" i="1"/>
  <c r="AE29" i="1"/>
  <c r="AD29" i="1"/>
  <c r="AB29" i="1"/>
  <c r="AA29" i="1"/>
  <c r="Z29" i="1"/>
  <c r="Y29" i="1"/>
  <c r="W29" i="1"/>
  <c r="V29" i="1"/>
  <c r="U29" i="1"/>
  <c r="T29" i="1"/>
  <c r="R29" i="1"/>
  <c r="Q29" i="1"/>
  <c r="P29" i="1"/>
  <c r="O29" i="1"/>
  <c r="M29" i="1"/>
  <c r="L29" i="1"/>
  <c r="K29" i="1"/>
  <c r="J29" i="1"/>
  <c r="H29" i="1"/>
  <c r="G29" i="1"/>
  <c r="F29" i="1"/>
  <c r="E29" i="1"/>
  <c r="AG25" i="1"/>
  <c r="AF25" i="1"/>
  <c r="AE25" i="1"/>
  <c r="AD25" i="1"/>
  <c r="AB25" i="1"/>
  <c r="AA25" i="1"/>
  <c r="Z25" i="1"/>
  <c r="Y25" i="1"/>
  <c r="W25" i="1"/>
  <c r="V25" i="1"/>
  <c r="U25" i="1"/>
  <c r="T25" i="1"/>
  <c r="R25" i="1"/>
  <c r="Q25" i="1"/>
  <c r="P25" i="1"/>
  <c r="O25" i="1"/>
  <c r="M25" i="1"/>
  <c r="L25" i="1"/>
  <c r="K25" i="1"/>
  <c r="J25" i="1"/>
  <c r="H25" i="1"/>
  <c r="G25" i="1"/>
  <c r="F25" i="1"/>
  <c r="E25" i="1"/>
  <c r="AG22" i="1"/>
  <c r="AF22" i="1"/>
  <c r="AE22" i="1"/>
  <c r="AD22" i="1"/>
  <c r="AB22" i="1"/>
  <c r="AA22" i="1"/>
  <c r="Z22" i="1"/>
  <c r="Y22" i="1"/>
  <c r="W22" i="1"/>
  <c r="V22" i="1"/>
  <c r="U22" i="1"/>
  <c r="T22" i="1"/>
  <c r="R22" i="1"/>
  <c r="Q22" i="1"/>
  <c r="P22" i="1"/>
  <c r="O22" i="1"/>
  <c r="M22" i="1"/>
  <c r="L22" i="1"/>
  <c r="K22" i="1"/>
  <c r="J22" i="1"/>
  <c r="H22" i="1"/>
  <c r="G22" i="1"/>
  <c r="F22" i="1"/>
  <c r="E22" i="1"/>
  <c r="AG18" i="1"/>
  <c r="AF18" i="1"/>
  <c r="AE18" i="1"/>
  <c r="AD18" i="1"/>
  <c r="AB18" i="1"/>
  <c r="AA18" i="1"/>
  <c r="Z18" i="1"/>
  <c r="Y18" i="1"/>
  <c r="W18" i="1"/>
  <c r="V18" i="1"/>
  <c r="U18" i="1"/>
  <c r="T18" i="1"/>
  <c r="R18" i="1"/>
  <c r="Q18" i="1"/>
  <c r="P18" i="1"/>
  <c r="O18" i="1"/>
  <c r="M18" i="1"/>
  <c r="L18" i="1"/>
  <c r="K18" i="1"/>
  <c r="J18" i="1"/>
  <c r="H18" i="1"/>
  <c r="G18" i="1"/>
  <c r="F18" i="1"/>
  <c r="E18" i="1"/>
  <c r="AG15" i="1"/>
  <c r="AF15" i="1"/>
  <c r="AE15" i="1"/>
  <c r="AD15" i="1"/>
  <c r="AB15" i="1"/>
  <c r="AA15" i="1"/>
  <c r="Z15" i="1"/>
  <c r="Y15" i="1"/>
  <c r="W15" i="1"/>
  <c r="V15" i="1"/>
  <c r="V38" i="1" s="1"/>
  <c r="U15" i="1"/>
  <c r="T15" i="1"/>
  <c r="R15" i="1"/>
  <c r="Q15" i="1"/>
  <c r="P15" i="1"/>
  <c r="O15" i="1"/>
  <c r="M15" i="1"/>
  <c r="L15" i="1"/>
  <c r="K15" i="1"/>
  <c r="J15" i="1"/>
  <c r="H15" i="1"/>
  <c r="G15" i="1"/>
  <c r="F15" i="1"/>
  <c r="E15" i="1"/>
  <c r="AG11" i="1"/>
  <c r="AF11" i="1"/>
  <c r="AE11" i="1"/>
  <c r="AD11" i="1"/>
  <c r="AB11" i="1"/>
  <c r="AA11" i="1"/>
  <c r="Z11" i="1"/>
  <c r="Y11" i="1"/>
  <c r="W11" i="1"/>
  <c r="V11" i="1"/>
  <c r="U11" i="1"/>
  <c r="T11" i="1"/>
  <c r="R11" i="1"/>
  <c r="Q11" i="1"/>
  <c r="P11" i="1"/>
  <c r="O11" i="1"/>
  <c r="M11" i="1"/>
  <c r="L11" i="1"/>
  <c r="K11" i="1"/>
  <c r="J11" i="1"/>
  <c r="H11" i="1"/>
  <c r="G11" i="1"/>
  <c r="F11" i="1"/>
  <c r="E11" i="1"/>
  <c r="AG7" i="1"/>
  <c r="AG73" i="1" s="1"/>
  <c r="AF7" i="1"/>
  <c r="AF74" i="1" s="1"/>
  <c r="AE7" i="1"/>
  <c r="AE38" i="1" s="1"/>
  <c r="AD7" i="1"/>
  <c r="AD38" i="1" s="1"/>
  <c r="AD39" i="1" s="1"/>
  <c r="AB7" i="1"/>
  <c r="AB38" i="1" s="1"/>
  <c r="AA7" i="1"/>
  <c r="AA38" i="1" s="1"/>
  <c r="Z7" i="1"/>
  <c r="Z38" i="1" s="1"/>
  <c r="Y7" i="1"/>
  <c r="Y38" i="1" s="1"/>
  <c r="Y39" i="1" s="1"/>
  <c r="W7" i="1"/>
  <c r="W74" i="1" s="1"/>
  <c r="V7" i="1"/>
  <c r="V74" i="1" s="1"/>
  <c r="U7" i="1"/>
  <c r="U74" i="1" s="1"/>
  <c r="T7" i="1"/>
  <c r="T38" i="1" s="1"/>
  <c r="T39" i="1" s="1"/>
  <c r="R7" i="1"/>
  <c r="R73" i="1" s="1"/>
  <c r="Q7" i="1"/>
  <c r="Q73" i="1" s="1"/>
  <c r="P7" i="1"/>
  <c r="P38" i="1" s="1"/>
  <c r="O7" i="1"/>
  <c r="O38" i="1" s="1"/>
  <c r="O39" i="1" s="1"/>
  <c r="M7" i="1"/>
  <c r="M38" i="1" s="1"/>
  <c r="L7" i="1"/>
  <c r="L38" i="1" s="1"/>
  <c r="K7" i="1"/>
  <c r="K38" i="1" s="1"/>
  <c r="J7" i="1"/>
  <c r="J38" i="1" s="1"/>
  <c r="J39" i="1" s="1"/>
  <c r="H7" i="1"/>
  <c r="H74" i="1" s="1"/>
  <c r="G7" i="1"/>
  <c r="G38" i="1" s="1"/>
  <c r="F7" i="1"/>
  <c r="F38" i="1" s="1"/>
  <c r="E7" i="1"/>
  <c r="E74" i="1" s="1"/>
  <c r="AF38" i="1" l="1"/>
  <c r="R38" i="1"/>
  <c r="AG38" i="1"/>
  <c r="E38" i="1"/>
  <c r="E39" i="1" s="1"/>
  <c r="U38" i="1"/>
  <c r="W38" i="1"/>
  <c r="AF73" i="1"/>
  <c r="AG74" i="1"/>
  <c r="E73" i="1"/>
  <c r="T73" i="1"/>
  <c r="T74" i="1"/>
  <c r="B77" i="1" s="1"/>
  <c r="H38" i="1"/>
  <c r="F73" i="1"/>
  <c r="U73" i="1"/>
  <c r="F74" i="1"/>
  <c r="B78" i="1" s="1"/>
  <c r="Q74" i="1"/>
  <c r="R74" i="1"/>
  <c r="B80" i="1" s="1"/>
  <c r="G73" i="1"/>
  <c r="V73" i="1"/>
  <c r="G74" i="1"/>
  <c r="B79" i="1" s="1"/>
  <c r="Q38" i="1"/>
  <c r="H73" i="1"/>
  <c r="W73" i="1"/>
</calcChain>
</file>

<file path=xl/sharedStrings.xml><?xml version="1.0" encoding="utf-8"?>
<sst xmlns="http://schemas.openxmlformats.org/spreadsheetml/2006/main" count="187" uniqueCount="109">
  <si>
    <t>Group Name</t>
  </si>
  <si>
    <t>BASELINE</t>
  </si>
  <si>
    <t>Insight</t>
  </si>
  <si>
    <t>Run Name</t>
  </si>
  <si>
    <t>Original Images</t>
  </si>
  <si>
    <t>FireRed-Image-Edit-1.1</t>
  </si>
  <si>
    <t>Flux.2 Klein</t>
  </si>
  <si>
    <t>Qwen-Image-Edit-2519</t>
  </si>
  <si>
    <t>FireRed-Image-Edit-1.2</t>
  </si>
  <si>
    <t>Qwen-Image-Edit-2520</t>
  </si>
  <si>
    <t>FireRed-Image-Edit-1.3</t>
  </si>
  <si>
    <t>Qwen-Image-Edit-2521</t>
  </si>
  <si>
    <t>FireRed-Image-Edit-1.4</t>
  </si>
  <si>
    <t>Qwen-Image-Edit-2522</t>
  </si>
  <si>
    <t>FireRed-Image-Edit-1.5</t>
  </si>
  <si>
    <t>Qwen-Image-Edit-2523</t>
  </si>
  <si>
    <t>FireRed-Image-Edit-1.6</t>
  </si>
  <si>
    <t>Qwen-Image-Edit-2524</t>
  </si>
  <si>
    <t>ResponseId</t>
  </si>
  <si>
    <t>Group</t>
  </si>
  <si>
    <t>Duration (in seconds)</t>
  </si>
  <si>
    <t>8511_29</t>
  </si>
  <si>
    <t>8511_31</t>
  </si>
  <si>
    <t>8511_32</t>
  </si>
  <si>
    <t>8511_33</t>
  </si>
  <si>
    <t>8516_29</t>
  </si>
  <si>
    <t>8516_31</t>
  </si>
  <si>
    <t>8516_32</t>
  </si>
  <si>
    <t>8516_33</t>
  </si>
  <si>
    <t>8519_29</t>
  </si>
  <si>
    <t>8519_31</t>
  </si>
  <si>
    <t>8519_32</t>
  </si>
  <si>
    <t>8519_33</t>
  </si>
  <si>
    <t>8526_29</t>
  </si>
  <si>
    <t>8526_31</t>
  </si>
  <si>
    <t>8526_32</t>
  </si>
  <si>
    <t>8526_33</t>
  </si>
  <si>
    <t>8546_29</t>
  </si>
  <si>
    <t>8546_31</t>
  </si>
  <si>
    <t>8546_32</t>
  </si>
  <si>
    <t>8546_33</t>
  </si>
  <si>
    <t>8598_29</t>
  </si>
  <si>
    <t>8598_31</t>
  </si>
  <si>
    <t>8598_32</t>
  </si>
  <si>
    <t>8598_33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</si>
  <si>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</si>
  <si>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</si>
  <si>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</si>
  <si>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</si>
  <si>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</si>
  <si>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</si>
  <si>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</si>
  <si>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</si>
  <si>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</si>
  <si>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</si>
  <si>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</si>
  <si>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</si>
  <si>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</si>
  <si>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</si>
  <si>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</si>
  <si>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</si>
  <si>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</si>
  <si>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</si>
  <si>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</si>
  <si>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</si>
  <si>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</si>
  <si>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</si>
  <si>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</si>
  <si>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</si>
  <si>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</si>
  <si>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</si>
  <si>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</si>
  <si>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</si>
  <si>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</si>
  <si>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</si>
  <si>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</si>
  <si>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</si>
  <si>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</si>
  <si>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</si>
  <si>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</si>
  <si>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</si>
  <si>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</si>
  <si>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</si>
  <si>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</si>
  <si>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</si>
  <si>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</si>
  <si>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</si>
  <si>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</si>
  <si>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</si>
  <si>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</si>
  <si>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</si>
  <si>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</si>
  <si>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</si>
  <si>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</si>
  <si>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</si>
  <si>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</si>
  <si>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</si>
  <si>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</si>
  <si>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</si>
  <si>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</si>
  <si>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</si>
  <si>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</si>
  <si>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</si>
  <si>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</si>
  <si>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</si>
  <si>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</si>
  <si>
    <t>Flux Black-White Caricature</t>
  </si>
  <si>
    <t>Qwen Color Caricature</t>
  </si>
  <si>
    <t>Z-Image Caricature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</si>
</sst>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4D3F-F20A-4D38-90EA-D55E30F89EB6}">
  <dimension ref="A1:AG80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33" width="9.5703125" customWidth="1"/>
  </cols>
  <sheetData>
    <row r="1" spans="1:33" x14ac:dyDescent="0.25">
      <c r="A1" t="s">
        <v>0</v>
      </c>
      <c r="E1" t="s">
        <v>1</v>
      </c>
      <c r="F1" t="s">
        <v>2</v>
      </c>
      <c r="G1" t="s">
        <v>2</v>
      </c>
      <c r="H1" t="s">
        <v>2</v>
      </c>
      <c r="J1" t="s">
        <v>1</v>
      </c>
      <c r="K1" t="s">
        <v>2</v>
      </c>
      <c r="L1" t="s">
        <v>2</v>
      </c>
      <c r="M1" t="s">
        <v>2</v>
      </c>
      <c r="O1" t="s">
        <v>1</v>
      </c>
      <c r="P1" t="s">
        <v>2</v>
      </c>
      <c r="Q1" t="s">
        <v>2</v>
      </c>
      <c r="R1" t="s">
        <v>2</v>
      </c>
      <c r="T1" t="s">
        <v>1</v>
      </c>
      <c r="U1" t="s">
        <v>2</v>
      </c>
      <c r="V1" t="s">
        <v>2</v>
      </c>
      <c r="W1" t="s">
        <v>2</v>
      </c>
      <c r="Y1" t="s">
        <v>1</v>
      </c>
      <c r="Z1" t="s">
        <v>2</v>
      </c>
      <c r="AA1" t="s">
        <v>2</v>
      </c>
      <c r="AB1" t="s">
        <v>2</v>
      </c>
      <c r="AD1" t="s">
        <v>1</v>
      </c>
      <c r="AE1" t="s">
        <v>2</v>
      </c>
      <c r="AF1" t="s">
        <v>2</v>
      </c>
      <c r="AG1" t="s">
        <v>2</v>
      </c>
    </row>
    <row r="2" spans="1:33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J2" t="s">
        <v>4</v>
      </c>
      <c r="K2" t="s">
        <v>8</v>
      </c>
      <c r="L2" t="s">
        <v>6</v>
      </c>
      <c r="M2" t="s">
        <v>9</v>
      </c>
      <c r="O2" t="s">
        <v>4</v>
      </c>
      <c r="P2" t="s">
        <v>10</v>
      </c>
      <c r="Q2" t="s">
        <v>6</v>
      </c>
      <c r="R2" t="s">
        <v>11</v>
      </c>
      <c r="T2" t="s">
        <v>4</v>
      </c>
      <c r="U2" t="s">
        <v>12</v>
      </c>
      <c r="V2" t="s">
        <v>6</v>
      </c>
      <c r="W2" t="s">
        <v>13</v>
      </c>
      <c r="Y2" t="s">
        <v>4</v>
      </c>
      <c r="Z2" t="s">
        <v>14</v>
      </c>
      <c r="AA2" t="s">
        <v>6</v>
      </c>
      <c r="AB2" t="s">
        <v>15</v>
      </c>
      <c r="AD2" t="s">
        <v>4</v>
      </c>
      <c r="AE2" t="s">
        <v>16</v>
      </c>
      <c r="AF2" t="s">
        <v>6</v>
      </c>
      <c r="AG2" t="s">
        <v>17</v>
      </c>
    </row>
    <row r="4" spans="1:33" x14ac:dyDescent="0.25">
      <c r="A4" t="s">
        <v>18</v>
      </c>
      <c r="B4" t="s">
        <v>19</v>
      </c>
      <c r="C4" t="s">
        <v>20</v>
      </c>
      <c r="E4" t="s">
        <v>21</v>
      </c>
      <c r="F4" t="s">
        <v>22</v>
      </c>
      <c r="G4" t="s">
        <v>23</v>
      </c>
      <c r="H4" t="s">
        <v>24</v>
      </c>
      <c r="J4" t="s">
        <v>25</v>
      </c>
      <c r="K4" t="s">
        <v>26</v>
      </c>
      <c r="L4" t="s">
        <v>27</v>
      </c>
      <c r="M4" t="s">
        <v>28</v>
      </c>
      <c r="O4" t="s">
        <v>29</v>
      </c>
      <c r="P4" t="s">
        <v>30</v>
      </c>
      <c r="Q4" t="s">
        <v>31</v>
      </c>
      <c r="R4" t="s">
        <v>32</v>
      </c>
      <c r="T4" t="s">
        <v>33</v>
      </c>
      <c r="U4" t="s">
        <v>34</v>
      </c>
      <c r="V4" t="s">
        <v>35</v>
      </c>
      <c r="W4" t="s">
        <v>36</v>
      </c>
      <c r="Y4" t="s">
        <v>37</v>
      </c>
      <c r="Z4" t="s">
        <v>38</v>
      </c>
      <c r="AA4" t="s">
        <v>39</v>
      </c>
      <c r="AB4" t="s">
        <v>40</v>
      </c>
      <c r="AD4" t="s">
        <v>41</v>
      </c>
      <c r="AE4" t="s">
        <v>42</v>
      </c>
      <c r="AF4" t="s">
        <v>43</v>
      </c>
      <c r="AG4" t="s">
        <v>44</v>
      </c>
    </row>
    <row r="6" spans="1:33" x14ac:dyDescent="0.25">
      <c r="A6" t="s">
        <v>45</v>
      </c>
      <c r="B6" t="s">
        <v>46</v>
      </c>
      <c r="C6">
        <v>5694</v>
      </c>
      <c r="E6" s="1">
        <v>1</v>
      </c>
      <c r="F6" s="1">
        <v>1</v>
      </c>
      <c r="G6" s="1">
        <v>1</v>
      </c>
      <c r="H6" s="1">
        <v>1</v>
      </c>
      <c r="I6" s="1"/>
      <c r="J6" s="1">
        <v>1</v>
      </c>
      <c r="K6" s="1">
        <v>1</v>
      </c>
      <c r="L6" s="1">
        <v>1</v>
      </c>
      <c r="M6" s="1">
        <v>1</v>
      </c>
      <c r="N6" s="1"/>
      <c r="O6" s="1">
        <v>5</v>
      </c>
      <c r="P6" s="1">
        <v>5</v>
      </c>
      <c r="Q6" s="1">
        <v>5</v>
      </c>
      <c r="R6" s="1">
        <v>5</v>
      </c>
      <c r="S6" s="1"/>
      <c r="T6" s="1">
        <v>5</v>
      </c>
      <c r="U6" s="1">
        <v>5</v>
      </c>
      <c r="V6" s="1">
        <v>5</v>
      </c>
      <c r="W6" s="1">
        <v>5</v>
      </c>
      <c r="X6" s="1"/>
      <c r="Y6" s="1">
        <v>3</v>
      </c>
      <c r="Z6" s="1">
        <v>3</v>
      </c>
      <c r="AA6" s="1">
        <v>3</v>
      </c>
      <c r="AB6" s="1">
        <v>3</v>
      </c>
      <c r="AC6" s="1"/>
      <c r="AD6" s="1">
        <v>5</v>
      </c>
      <c r="AE6" s="1">
        <v>5</v>
      </c>
      <c r="AF6" s="1">
        <v>5</v>
      </c>
      <c r="AG6" s="1">
        <v>5</v>
      </c>
    </row>
    <row r="7" spans="1:33" x14ac:dyDescent="0.25">
      <c r="A7" t="s">
        <v>47</v>
      </c>
      <c r="E7" s="1">
        <f t="shared" ref="E7:H7" si="0">AVERAGE(E6)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/>
      <c r="J7" s="1">
        <f t="shared" ref="J7:M7" si="1">AVERAGE(J6)</f>
        <v>1</v>
      </c>
      <c r="K7" s="1">
        <f t="shared" si="1"/>
        <v>1</v>
      </c>
      <c r="L7" s="1">
        <f t="shared" si="1"/>
        <v>1</v>
      </c>
      <c r="M7" s="1">
        <f t="shared" si="1"/>
        <v>1</v>
      </c>
      <c r="N7" s="1"/>
      <c r="O7" s="1">
        <f t="shared" ref="O7:R7" si="2">AVERAGE(O6)</f>
        <v>5</v>
      </c>
      <c r="P7" s="1">
        <f t="shared" si="2"/>
        <v>5</v>
      </c>
      <c r="Q7" s="1">
        <f t="shared" si="2"/>
        <v>5</v>
      </c>
      <c r="R7" s="1">
        <f t="shared" si="2"/>
        <v>5</v>
      </c>
      <c r="S7" s="1"/>
      <c r="T7" s="1">
        <f t="shared" ref="T7:W7" si="3">AVERAGE(T6)</f>
        <v>5</v>
      </c>
      <c r="U7" s="1">
        <f t="shared" si="3"/>
        <v>5</v>
      </c>
      <c r="V7" s="1">
        <f t="shared" si="3"/>
        <v>5</v>
      </c>
      <c r="W7" s="1">
        <f t="shared" si="3"/>
        <v>5</v>
      </c>
      <c r="X7" s="1"/>
      <c r="Y7" s="1">
        <f t="shared" ref="Y7:AB7" si="4">AVERAGE(Y6)</f>
        <v>3</v>
      </c>
      <c r="Z7" s="1">
        <f t="shared" si="4"/>
        <v>3</v>
      </c>
      <c r="AA7" s="1">
        <f t="shared" si="4"/>
        <v>3</v>
      </c>
      <c r="AB7" s="1">
        <f t="shared" si="4"/>
        <v>3</v>
      </c>
      <c r="AC7" s="1"/>
      <c r="AD7" s="1">
        <f t="shared" ref="AD7:AG7" si="5">AVERAGE(AD6)</f>
        <v>5</v>
      </c>
      <c r="AE7" s="1">
        <f t="shared" si="5"/>
        <v>5</v>
      </c>
      <c r="AF7" s="1">
        <f t="shared" si="5"/>
        <v>5</v>
      </c>
      <c r="AG7" s="1">
        <f t="shared" si="5"/>
        <v>5</v>
      </c>
    </row>
    <row r="8" spans="1:3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t="s">
        <v>48</v>
      </c>
      <c r="B9" t="s">
        <v>49</v>
      </c>
      <c r="C9">
        <v>89570</v>
      </c>
      <c r="E9" s="1">
        <v>2</v>
      </c>
      <c r="F9" s="1">
        <v>1</v>
      </c>
      <c r="G9" s="1">
        <v>2</v>
      </c>
      <c r="H9" s="1">
        <v>1</v>
      </c>
      <c r="I9" s="1"/>
      <c r="J9" s="1">
        <v>2</v>
      </c>
      <c r="K9" s="1">
        <v>2</v>
      </c>
      <c r="L9" s="1">
        <v>3</v>
      </c>
      <c r="M9" s="1">
        <v>2</v>
      </c>
      <c r="N9" s="1"/>
      <c r="O9" s="1">
        <v>3</v>
      </c>
      <c r="P9" s="1">
        <v>4</v>
      </c>
      <c r="Q9" s="1">
        <v>4</v>
      </c>
      <c r="R9" s="1">
        <v>4</v>
      </c>
      <c r="S9" s="1"/>
      <c r="T9" s="1">
        <v>5</v>
      </c>
      <c r="U9" s="1">
        <v>5</v>
      </c>
      <c r="V9" s="1">
        <v>5</v>
      </c>
      <c r="W9" s="1">
        <v>5</v>
      </c>
      <c r="X9" s="1"/>
      <c r="Y9" s="1">
        <v>5</v>
      </c>
      <c r="Z9" s="1">
        <v>5</v>
      </c>
      <c r="AA9" s="1">
        <v>5</v>
      </c>
      <c r="AB9" s="1">
        <v>5</v>
      </c>
      <c r="AC9" s="1"/>
      <c r="AD9" s="1">
        <v>5</v>
      </c>
      <c r="AE9" s="1">
        <v>4</v>
      </c>
      <c r="AF9" s="1">
        <v>5</v>
      </c>
      <c r="AG9" s="1">
        <v>5</v>
      </c>
    </row>
    <row r="10" spans="1:33" x14ac:dyDescent="0.25">
      <c r="A10" t="s">
        <v>50</v>
      </c>
      <c r="B10" t="s">
        <v>49</v>
      </c>
      <c r="C10">
        <v>10268</v>
      </c>
      <c r="E10" s="1">
        <v>1</v>
      </c>
      <c r="F10" s="1">
        <v>1</v>
      </c>
      <c r="G10" s="1">
        <v>1</v>
      </c>
      <c r="H10" s="1">
        <v>1</v>
      </c>
      <c r="I10" s="1"/>
      <c r="J10" s="1">
        <v>1</v>
      </c>
      <c r="K10" s="1">
        <v>1</v>
      </c>
      <c r="L10" s="1">
        <v>1</v>
      </c>
      <c r="M10" s="1">
        <v>1</v>
      </c>
      <c r="N10" s="1"/>
      <c r="O10" s="1">
        <v>3</v>
      </c>
      <c r="P10" s="1">
        <v>3</v>
      </c>
      <c r="Q10" s="1">
        <v>3</v>
      </c>
      <c r="R10" s="1">
        <v>3</v>
      </c>
      <c r="S10" s="1"/>
      <c r="T10" s="1">
        <v>3</v>
      </c>
      <c r="U10" s="1">
        <v>3</v>
      </c>
      <c r="V10" s="1">
        <v>3</v>
      </c>
      <c r="W10" s="1">
        <v>3</v>
      </c>
      <c r="X10" s="1"/>
      <c r="Y10" s="1">
        <v>4</v>
      </c>
      <c r="Z10" s="1">
        <v>4</v>
      </c>
      <c r="AA10" s="1">
        <v>4</v>
      </c>
      <c r="AB10" s="1">
        <v>4</v>
      </c>
      <c r="AC10" s="1"/>
      <c r="AD10" s="1">
        <v>3</v>
      </c>
      <c r="AE10" s="1">
        <v>2</v>
      </c>
      <c r="AF10" s="1">
        <v>2</v>
      </c>
      <c r="AG10" s="1">
        <v>2</v>
      </c>
    </row>
    <row r="11" spans="1:33" x14ac:dyDescent="0.25">
      <c r="A11" t="s">
        <v>47</v>
      </c>
      <c r="E11" s="1">
        <f t="shared" ref="E11:H11" si="6">AVERAGE(E9:E10)</f>
        <v>1.5</v>
      </c>
      <c r="F11" s="1">
        <f t="shared" si="6"/>
        <v>1</v>
      </c>
      <c r="G11" s="1">
        <f t="shared" si="6"/>
        <v>1.5</v>
      </c>
      <c r="H11" s="1">
        <f t="shared" si="6"/>
        <v>1</v>
      </c>
      <c r="I11" s="1"/>
      <c r="J11" s="1">
        <f t="shared" ref="J11:M11" si="7">AVERAGE(J9:J10)</f>
        <v>1.5</v>
      </c>
      <c r="K11" s="1">
        <f t="shared" si="7"/>
        <v>1.5</v>
      </c>
      <c r="L11" s="1">
        <f t="shared" si="7"/>
        <v>2</v>
      </c>
      <c r="M11" s="1">
        <f t="shared" si="7"/>
        <v>1.5</v>
      </c>
      <c r="N11" s="1"/>
      <c r="O11" s="1">
        <f t="shared" ref="O11:R11" si="8">AVERAGE(O9:O10)</f>
        <v>3</v>
      </c>
      <c r="P11" s="1">
        <f t="shared" si="8"/>
        <v>3.5</v>
      </c>
      <c r="Q11" s="1">
        <f t="shared" si="8"/>
        <v>3.5</v>
      </c>
      <c r="R11" s="1">
        <f t="shared" si="8"/>
        <v>3.5</v>
      </c>
      <c r="S11" s="1"/>
      <c r="T11" s="1">
        <f t="shared" ref="T11:W11" si="9">AVERAGE(T9:T10)</f>
        <v>4</v>
      </c>
      <c r="U11" s="1">
        <f t="shared" si="9"/>
        <v>4</v>
      </c>
      <c r="V11" s="1">
        <f t="shared" si="9"/>
        <v>4</v>
      </c>
      <c r="W11" s="1">
        <f t="shared" si="9"/>
        <v>4</v>
      </c>
      <c r="X11" s="1"/>
      <c r="Y11" s="1">
        <f t="shared" ref="Y11:AB11" si="10">AVERAGE(Y9:Y10)</f>
        <v>4.5</v>
      </c>
      <c r="Z11" s="1">
        <f t="shared" si="10"/>
        <v>4.5</v>
      </c>
      <c r="AA11" s="1">
        <f t="shared" si="10"/>
        <v>4.5</v>
      </c>
      <c r="AB11" s="1">
        <f t="shared" si="10"/>
        <v>4.5</v>
      </c>
      <c r="AC11" s="1"/>
      <c r="AD11" s="1">
        <f t="shared" ref="AD11:AG11" si="11">AVERAGE(AD9:AD10)</f>
        <v>4</v>
      </c>
      <c r="AE11" s="1">
        <f t="shared" si="11"/>
        <v>3</v>
      </c>
      <c r="AF11" s="1">
        <f t="shared" si="11"/>
        <v>3.5</v>
      </c>
      <c r="AG11" s="1">
        <f t="shared" si="11"/>
        <v>3.5</v>
      </c>
    </row>
    <row r="12" spans="1:33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t="s">
        <v>51</v>
      </c>
      <c r="B13" t="s">
        <v>52</v>
      </c>
      <c r="C13">
        <v>5511</v>
      </c>
      <c r="E13" s="1">
        <v>2</v>
      </c>
      <c r="F13" s="1">
        <v>2</v>
      </c>
      <c r="G13" s="1">
        <v>1</v>
      </c>
      <c r="H13" s="1">
        <v>1</v>
      </c>
      <c r="I13" s="1"/>
      <c r="J13" s="1">
        <v>1</v>
      </c>
      <c r="K13" s="1">
        <v>1</v>
      </c>
      <c r="L13" s="1">
        <v>1</v>
      </c>
      <c r="M13" s="1">
        <v>1</v>
      </c>
      <c r="N13" s="1"/>
      <c r="O13" s="1">
        <v>4</v>
      </c>
      <c r="P13" s="1">
        <v>5</v>
      </c>
      <c r="Q13" s="1">
        <v>5</v>
      </c>
      <c r="R13" s="1">
        <v>5</v>
      </c>
      <c r="S13" s="1"/>
      <c r="T13" s="1">
        <v>3</v>
      </c>
      <c r="U13" s="1">
        <v>3</v>
      </c>
      <c r="V13" s="1">
        <v>3</v>
      </c>
      <c r="W13" s="1">
        <v>3</v>
      </c>
      <c r="X13" s="1"/>
      <c r="Y13" s="1">
        <v>4</v>
      </c>
      <c r="Z13" s="1">
        <v>4</v>
      </c>
      <c r="AA13" s="1">
        <v>4</v>
      </c>
      <c r="AB13" s="1">
        <v>4</v>
      </c>
      <c r="AC13" s="1"/>
      <c r="AD13" s="1">
        <v>4</v>
      </c>
      <c r="AE13" s="1">
        <v>4</v>
      </c>
      <c r="AF13" s="1">
        <v>4</v>
      </c>
      <c r="AG13" s="1">
        <v>4</v>
      </c>
    </row>
    <row r="14" spans="1:33" x14ac:dyDescent="0.25">
      <c r="A14" t="s">
        <v>53</v>
      </c>
      <c r="B14" t="s">
        <v>52</v>
      </c>
      <c r="C14">
        <v>60081</v>
      </c>
      <c r="E14" s="1">
        <v>2</v>
      </c>
      <c r="F14" s="1">
        <v>2</v>
      </c>
      <c r="G14" s="1">
        <v>2</v>
      </c>
      <c r="H14" s="1">
        <v>2</v>
      </c>
      <c r="I14" s="1"/>
      <c r="J14" s="1">
        <v>3</v>
      </c>
      <c r="K14" s="1">
        <v>3</v>
      </c>
      <c r="L14" s="1">
        <v>3</v>
      </c>
      <c r="M14" s="1">
        <v>3</v>
      </c>
      <c r="N14" s="1"/>
      <c r="O14" s="1">
        <v>3</v>
      </c>
      <c r="P14" s="1">
        <v>4</v>
      </c>
      <c r="Q14" s="1">
        <v>4</v>
      </c>
      <c r="R14" s="1">
        <v>4</v>
      </c>
      <c r="S14" s="1"/>
      <c r="T14" s="1">
        <v>4</v>
      </c>
      <c r="U14" s="1">
        <v>3</v>
      </c>
      <c r="V14" s="1">
        <v>4</v>
      </c>
      <c r="W14" s="1">
        <v>4</v>
      </c>
      <c r="X14" s="1"/>
      <c r="Y14" s="1">
        <v>4</v>
      </c>
      <c r="Z14" s="1">
        <v>5</v>
      </c>
      <c r="AA14" s="1">
        <v>5</v>
      </c>
      <c r="AB14" s="1">
        <v>5</v>
      </c>
      <c r="AC14" s="1"/>
      <c r="AD14" s="1">
        <v>4</v>
      </c>
      <c r="AE14" s="1">
        <v>4</v>
      </c>
      <c r="AF14" s="1">
        <v>4</v>
      </c>
      <c r="AG14" s="1">
        <v>4</v>
      </c>
    </row>
    <row r="15" spans="1:33" x14ac:dyDescent="0.25">
      <c r="A15" t="s">
        <v>47</v>
      </c>
      <c r="E15" s="1">
        <f t="shared" ref="E15:H15" si="12">AVERAGE(E13:E14)</f>
        <v>2</v>
      </c>
      <c r="F15" s="1">
        <f t="shared" si="12"/>
        <v>2</v>
      </c>
      <c r="G15" s="1">
        <f t="shared" si="12"/>
        <v>1.5</v>
      </c>
      <c r="H15" s="1">
        <f t="shared" si="12"/>
        <v>1.5</v>
      </c>
      <c r="I15" s="1"/>
      <c r="J15" s="1">
        <f t="shared" ref="J15:M15" si="13">AVERAGE(J13:J14)</f>
        <v>2</v>
      </c>
      <c r="K15" s="1">
        <f t="shared" si="13"/>
        <v>2</v>
      </c>
      <c r="L15" s="1">
        <f t="shared" si="13"/>
        <v>2</v>
      </c>
      <c r="M15" s="1">
        <f t="shared" si="13"/>
        <v>2</v>
      </c>
      <c r="N15" s="1"/>
      <c r="O15" s="1">
        <f t="shared" ref="O15:R15" si="14">AVERAGE(O13:O14)</f>
        <v>3.5</v>
      </c>
      <c r="P15" s="1">
        <f t="shared" si="14"/>
        <v>4.5</v>
      </c>
      <c r="Q15" s="1">
        <f t="shared" si="14"/>
        <v>4.5</v>
      </c>
      <c r="R15" s="1">
        <f t="shared" si="14"/>
        <v>4.5</v>
      </c>
      <c r="S15" s="1"/>
      <c r="T15" s="1">
        <f t="shared" ref="T15:W15" si="15">AVERAGE(T13:T14)</f>
        <v>3.5</v>
      </c>
      <c r="U15" s="1">
        <f t="shared" si="15"/>
        <v>3</v>
      </c>
      <c r="V15" s="1">
        <f t="shared" si="15"/>
        <v>3.5</v>
      </c>
      <c r="W15" s="1">
        <f t="shared" si="15"/>
        <v>3.5</v>
      </c>
      <c r="X15" s="1"/>
      <c r="Y15" s="1">
        <f t="shared" ref="Y15:AB15" si="16">AVERAGE(Y13:Y14)</f>
        <v>4</v>
      </c>
      <c r="Z15" s="1">
        <f t="shared" si="16"/>
        <v>4.5</v>
      </c>
      <c r="AA15" s="1">
        <f t="shared" si="16"/>
        <v>4.5</v>
      </c>
      <c r="AB15" s="1">
        <f t="shared" si="16"/>
        <v>4.5</v>
      </c>
      <c r="AC15" s="1"/>
      <c r="AD15" s="1">
        <f t="shared" ref="AD15:AG15" si="17">AVERAGE(AD13:AD14)</f>
        <v>4</v>
      </c>
      <c r="AE15" s="1">
        <f t="shared" si="17"/>
        <v>4</v>
      </c>
      <c r="AF15" s="1">
        <f t="shared" si="17"/>
        <v>4</v>
      </c>
      <c r="AG15" s="1">
        <f t="shared" si="17"/>
        <v>4</v>
      </c>
    </row>
    <row r="16" spans="1:33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t="s">
        <v>54</v>
      </c>
      <c r="B17" t="s">
        <v>55</v>
      </c>
      <c r="C17">
        <v>168432</v>
      </c>
      <c r="E17" s="1">
        <v>2</v>
      </c>
      <c r="F17" s="1">
        <v>2</v>
      </c>
      <c r="G17" s="1">
        <v>1</v>
      </c>
      <c r="H17" s="1">
        <v>1</v>
      </c>
      <c r="I17" s="1"/>
      <c r="J17" s="1">
        <v>3</v>
      </c>
      <c r="K17" s="1">
        <v>3</v>
      </c>
      <c r="L17" s="1">
        <v>3</v>
      </c>
      <c r="M17" s="1">
        <v>3</v>
      </c>
      <c r="N17" s="1"/>
      <c r="O17" s="1">
        <v>3</v>
      </c>
      <c r="P17" s="1">
        <v>4</v>
      </c>
      <c r="Q17" s="1">
        <v>5</v>
      </c>
      <c r="R17" s="1">
        <v>5</v>
      </c>
      <c r="S17" s="1"/>
      <c r="T17" s="1">
        <v>2</v>
      </c>
      <c r="U17" s="1">
        <v>2</v>
      </c>
      <c r="V17" s="1">
        <v>3</v>
      </c>
      <c r="W17" s="1">
        <v>3</v>
      </c>
      <c r="X17" s="1"/>
      <c r="Y17" s="1">
        <v>3</v>
      </c>
      <c r="Z17" s="1">
        <v>5</v>
      </c>
      <c r="AA17" s="1">
        <v>4</v>
      </c>
      <c r="AB17" s="1">
        <v>4</v>
      </c>
      <c r="AC17" s="1"/>
      <c r="AD17" s="1">
        <v>3</v>
      </c>
      <c r="AE17" s="1">
        <v>3</v>
      </c>
      <c r="AF17" s="1">
        <v>2</v>
      </c>
      <c r="AG17" s="1">
        <v>3</v>
      </c>
    </row>
    <row r="18" spans="1:33" x14ac:dyDescent="0.25">
      <c r="A18" t="s">
        <v>47</v>
      </c>
      <c r="E18" s="1">
        <f t="shared" ref="E18:H18" si="18">AVERAGE(E17)</f>
        <v>2</v>
      </c>
      <c r="F18" s="1">
        <f t="shared" si="18"/>
        <v>2</v>
      </c>
      <c r="G18" s="1">
        <f t="shared" si="18"/>
        <v>1</v>
      </c>
      <c r="H18" s="1">
        <f t="shared" si="18"/>
        <v>1</v>
      </c>
      <c r="I18" s="1"/>
      <c r="J18" s="1">
        <f t="shared" ref="J18:M18" si="19">AVERAGE(J17)</f>
        <v>3</v>
      </c>
      <c r="K18" s="1">
        <f t="shared" si="19"/>
        <v>3</v>
      </c>
      <c r="L18" s="1">
        <f t="shared" si="19"/>
        <v>3</v>
      </c>
      <c r="M18" s="1">
        <f t="shared" si="19"/>
        <v>3</v>
      </c>
      <c r="N18" s="1"/>
      <c r="O18" s="1">
        <f t="shared" ref="O18:R18" si="20">AVERAGE(O17)</f>
        <v>3</v>
      </c>
      <c r="P18" s="1">
        <f t="shared" si="20"/>
        <v>4</v>
      </c>
      <c r="Q18" s="1">
        <f t="shared" si="20"/>
        <v>5</v>
      </c>
      <c r="R18" s="1">
        <f t="shared" si="20"/>
        <v>5</v>
      </c>
      <c r="S18" s="1"/>
      <c r="T18" s="1">
        <f t="shared" ref="T18:W18" si="21">AVERAGE(T17)</f>
        <v>2</v>
      </c>
      <c r="U18" s="1">
        <f t="shared" si="21"/>
        <v>2</v>
      </c>
      <c r="V18" s="1">
        <f t="shared" si="21"/>
        <v>3</v>
      </c>
      <c r="W18" s="1">
        <f t="shared" si="21"/>
        <v>3</v>
      </c>
      <c r="X18" s="1"/>
      <c r="Y18" s="1">
        <f t="shared" ref="Y18:AB18" si="22">AVERAGE(Y17)</f>
        <v>3</v>
      </c>
      <c r="Z18" s="1">
        <f t="shared" si="22"/>
        <v>5</v>
      </c>
      <c r="AA18" s="1">
        <f t="shared" si="22"/>
        <v>4</v>
      </c>
      <c r="AB18" s="1">
        <f t="shared" si="22"/>
        <v>4</v>
      </c>
      <c r="AC18" s="1"/>
      <c r="AD18" s="1">
        <f t="shared" ref="AD18:AG18" si="23">AVERAGE(AD17)</f>
        <v>3</v>
      </c>
      <c r="AE18" s="1">
        <f t="shared" si="23"/>
        <v>3</v>
      </c>
      <c r="AF18" s="1">
        <f t="shared" si="23"/>
        <v>2</v>
      </c>
      <c r="AG18" s="1">
        <f t="shared" si="23"/>
        <v>3</v>
      </c>
    </row>
    <row r="19" spans="1:33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t="s">
        <v>56</v>
      </c>
      <c r="B20" t="s">
        <v>57</v>
      </c>
      <c r="C20">
        <v>8813</v>
      </c>
      <c r="E20" s="1">
        <v>1</v>
      </c>
      <c r="F20" s="1">
        <v>1</v>
      </c>
      <c r="G20" s="1">
        <v>1</v>
      </c>
      <c r="H20" s="1">
        <v>1</v>
      </c>
      <c r="I20" s="1"/>
      <c r="J20" s="1">
        <v>3</v>
      </c>
      <c r="K20" s="1">
        <v>3</v>
      </c>
      <c r="L20" s="1">
        <v>3</v>
      </c>
      <c r="M20" s="1">
        <v>3</v>
      </c>
      <c r="N20" s="1"/>
      <c r="O20" s="1">
        <v>4</v>
      </c>
      <c r="P20" s="1">
        <v>4</v>
      </c>
      <c r="Q20" s="1">
        <v>4</v>
      </c>
      <c r="R20" s="1">
        <v>4</v>
      </c>
      <c r="S20" s="1"/>
      <c r="T20" s="1">
        <v>4</v>
      </c>
      <c r="U20" s="1">
        <v>3</v>
      </c>
      <c r="V20" s="1">
        <v>3</v>
      </c>
      <c r="W20" s="1">
        <v>3</v>
      </c>
      <c r="X20" s="1"/>
      <c r="Y20" s="1">
        <v>5</v>
      </c>
      <c r="Z20" s="1">
        <v>4</v>
      </c>
      <c r="AA20" s="1">
        <v>4</v>
      </c>
      <c r="AB20" s="1">
        <v>5</v>
      </c>
      <c r="AC20" s="1"/>
      <c r="AD20" s="1">
        <v>4</v>
      </c>
      <c r="AE20" s="1">
        <v>4</v>
      </c>
      <c r="AF20" s="1">
        <v>4</v>
      </c>
      <c r="AG20" s="1">
        <v>4</v>
      </c>
    </row>
    <row r="21" spans="1:33" x14ac:dyDescent="0.25">
      <c r="A21" t="s">
        <v>58</v>
      </c>
      <c r="B21" t="s">
        <v>57</v>
      </c>
      <c r="C21">
        <v>8006</v>
      </c>
      <c r="E21" s="1">
        <v>1</v>
      </c>
      <c r="F21" s="1">
        <v>1</v>
      </c>
      <c r="G21" s="1">
        <v>1</v>
      </c>
      <c r="H21" s="1">
        <v>1</v>
      </c>
      <c r="I21" s="1"/>
      <c r="J21" s="1">
        <v>2</v>
      </c>
      <c r="K21" s="1">
        <v>2</v>
      </c>
      <c r="L21" s="1">
        <v>2</v>
      </c>
      <c r="M21" s="1">
        <v>2</v>
      </c>
      <c r="N21" s="1"/>
      <c r="O21" s="1">
        <v>4</v>
      </c>
      <c r="P21" s="1">
        <v>2</v>
      </c>
      <c r="Q21" s="1">
        <v>3</v>
      </c>
      <c r="R21" s="1">
        <v>2</v>
      </c>
      <c r="S21" s="1"/>
      <c r="T21" s="1">
        <v>2</v>
      </c>
      <c r="U21" s="1">
        <v>3</v>
      </c>
      <c r="V21" s="1">
        <v>2</v>
      </c>
      <c r="W21" s="1">
        <v>2</v>
      </c>
      <c r="X21" s="1"/>
      <c r="Y21" s="1">
        <v>3</v>
      </c>
      <c r="Z21" s="1">
        <v>3</v>
      </c>
      <c r="AA21" s="1">
        <v>5</v>
      </c>
      <c r="AB21" s="1">
        <v>4</v>
      </c>
      <c r="AC21" s="1"/>
      <c r="AD21" s="1">
        <v>3</v>
      </c>
      <c r="AE21" s="1">
        <v>5</v>
      </c>
      <c r="AF21" s="1">
        <v>4</v>
      </c>
      <c r="AG21" s="1">
        <v>5</v>
      </c>
    </row>
    <row r="22" spans="1:33" x14ac:dyDescent="0.25">
      <c r="A22" t="s">
        <v>47</v>
      </c>
      <c r="E22" s="1">
        <f t="shared" ref="E22:H22" si="24">AVERAGE(E20:E21)</f>
        <v>1</v>
      </c>
      <c r="F22" s="1">
        <f t="shared" si="24"/>
        <v>1</v>
      </c>
      <c r="G22" s="1">
        <f t="shared" si="24"/>
        <v>1</v>
      </c>
      <c r="H22" s="1">
        <f t="shared" si="24"/>
        <v>1</v>
      </c>
      <c r="I22" s="1"/>
      <c r="J22" s="1">
        <f t="shared" ref="J22:M22" si="25">AVERAGE(J20:J21)</f>
        <v>2.5</v>
      </c>
      <c r="K22" s="1">
        <f t="shared" si="25"/>
        <v>2.5</v>
      </c>
      <c r="L22" s="1">
        <f t="shared" si="25"/>
        <v>2.5</v>
      </c>
      <c r="M22" s="1">
        <f t="shared" si="25"/>
        <v>2.5</v>
      </c>
      <c r="N22" s="1"/>
      <c r="O22" s="1">
        <f t="shared" ref="O22:R22" si="26">AVERAGE(O20:O21)</f>
        <v>4</v>
      </c>
      <c r="P22" s="1">
        <f t="shared" si="26"/>
        <v>3</v>
      </c>
      <c r="Q22" s="1">
        <f t="shared" si="26"/>
        <v>3.5</v>
      </c>
      <c r="R22" s="1">
        <f t="shared" si="26"/>
        <v>3</v>
      </c>
      <c r="S22" s="1"/>
      <c r="T22" s="1">
        <f t="shared" ref="T22:W22" si="27">AVERAGE(T20:T21)</f>
        <v>3</v>
      </c>
      <c r="U22" s="1">
        <f t="shared" si="27"/>
        <v>3</v>
      </c>
      <c r="V22" s="1">
        <f t="shared" si="27"/>
        <v>2.5</v>
      </c>
      <c r="W22" s="1">
        <f t="shared" si="27"/>
        <v>2.5</v>
      </c>
      <c r="X22" s="1"/>
      <c r="Y22" s="1">
        <f t="shared" ref="Y22:AB22" si="28">AVERAGE(Y20:Y21)</f>
        <v>4</v>
      </c>
      <c r="Z22" s="1">
        <f t="shared" si="28"/>
        <v>3.5</v>
      </c>
      <c r="AA22" s="1">
        <f t="shared" si="28"/>
        <v>4.5</v>
      </c>
      <c r="AB22" s="1">
        <f t="shared" si="28"/>
        <v>4.5</v>
      </c>
      <c r="AC22" s="1"/>
      <c r="AD22" s="1">
        <f t="shared" ref="AD22:AG22" si="29">AVERAGE(AD20:AD21)</f>
        <v>3.5</v>
      </c>
      <c r="AE22" s="1">
        <f t="shared" si="29"/>
        <v>4.5</v>
      </c>
      <c r="AF22" s="1">
        <f t="shared" si="29"/>
        <v>4</v>
      </c>
      <c r="AG22" s="1">
        <f t="shared" si="29"/>
        <v>4.5</v>
      </c>
    </row>
    <row r="23" spans="1:33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t="s">
        <v>59</v>
      </c>
      <c r="B24" t="s">
        <v>60</v>
      </c>
      <c r="C24">
        <v>35935</v>
      </c>
      <c r="E24" s="1">
        <v>1</v>
      </c>
      <c r="F24" s="1">
        <v>1</v>
      </c>
      <c r="G24" s="1">
        <v>1</v>
      </c>
      <c r="H24" s="1">
        <v>1</v>
      </c>
      <c r="I24" s="1"/>
      <c r="J24" s="1">
        <v>3</v>
      </c>
      <c r="K24" s="1">
        <v>3</v>
      </c>
      <c r="L24" s="1">
        <v>3</v>
      </c>
      <c r="M24" s="1">
        <v>3</v>
      </c>
      <c r="N24" s="1"/>
      <c r="O24" s="1">
        <v>4</v>
      </c>
      <c r="P24" s="1">
        <v>4</v>
      </c>
      <c r="Q24" s="1">
        <v>5</v>
      </c>
      <c r="R24" s="1">
        <v>5</v>
      </c>
      <c r="S24" s="1"/>
      <c r="T24" s="1">
        <v>3</v>
      </c>
      <c r="U24" s="1">
        <v>4</v>
      </c>
      <c r="V24" s="1">
        <v>4</v>
      </c>
      <c r="W24" s="1">
        <v>5</v>
      </c>
      <c r="X24" s="1"/>
      <c r="Y24" s="1">
        <v>4</v>
      </c>
      <c r="Z24" s="1">
        <v>4</v>
      </c>
      <c r="AA24" s="1">
        <v>4</v>
      </c>
      <c r="AB24" s="1">
        <v>4</v>
      </c>
      <c r="AC24" s="1"/>
      <c r="AD24" s="1">
        <v>4</v>
      </c>
      <c r="AE24" s="1">
        <v>5</v>
      </c>
      <c r="AF24" s="1">
        <v>5</v>
      </c>
      <c r="AG24" s="1">
        <v>4</v>
      </c>
    </row>
    <row r="25" spans="1:33" x14ac:dyDescent="0.25">
      <c r="A25" t="s">
        <v>47</v>
      </c>
      <c r="E25" s="1">
        <f t="shared" ref="E25:H25" si="30">AVERAGE(E24)</f>
        <v>1</v>
      </c>
      <c r="F25" s="1">
        <f t="shared" si="30"/>
        <v>1</v>
      </c>
      <c r="G25" s="1">
        <f t="shared" si="30"/>
        <v>1</v>
      </c>
      <c r="H25" s="1">
        <f t="shared" si="30"/>
        <v>1</v>
      </c>
      <c r="I25" s="1"/>
      <c r="J25" s="1">
        <f t="shared" ref="J25:M25" si="31">AVERAGE(J24)</f>
        <v>3</v>
      </c>
      <c r="K25" s="1">
        <f t="shared" si="31"/>
        <v>3</v>
      </c>
      <c r="L25" s="1">
        <f t="shared" si="31"/>
        <v>3</v>
      </c>
      <c r="M25" s="1">
        <f t="shared" si="31"/>
        <v>3</v>
      </c>
      <c r="N25" s="1"/>
      <c r="O25" s="1">
        <f t="shared" ref="O25:R25" si="32">AVERAGE(O24)</f>
        <v>4</v>
      </c>
      <c r="P25" s="1">
        <f t="shared" si="32"/>
        <v>4</v>
      </c>
      <c r="Q25" s="1">
        <f t="shared" si="32"/>
        <v>5</v>
      </c>
      <c r="R25" s="1">
        <f t="shared" si="32"/>
        <v>5</v>
      </c>
      <c r="S25" s="1"/>
      <c r="T25" s="1">
        <f t="shared" ref="T25:W25" si="33">AVERAGE(T24)</f>
        <v>3</v>
      </c>
      <c r="U25" s="1">
        <f t="shared" si="33"/>
        <v>4</v>
      </c>
      <c r="V25" s="1">
        <f t="shared" si="33"/>
        <v>4</v>
      </c>
      <c r="W25" s="1">
        <f t="shared" si="33"/>
        <v>5</v>
      </c>
      <c r="X25" s="1"/>
      <c r="Y25" s="1">
        <f t="shared" ref="Y25:AB25" si="34">AVERAGE(Y24)</f>
        <v>4</v>
      </c>
      <c r="Z25" s="1">
        <f t="shared" si="34"/>
        <v>4</v>
      </c>
      <c r="AA25" s="1">
        <f t="shared" si="34"/>
        <v>4</v>
      </c>
      <c r="AB25" s="1">
        <f t="shared" si="34"/>
        <v>4</v>
      </c>
      <c r="AC25" s="1"/>
      <c r="AD25" s="1">
        <f t="shared" ref="AD25:AG25" si="35">AVERAGE(AD24)</f>
        <v>4</v>
      </c>
      <c r="AE25" s="1">
        <f t="shared" si="35"/>
        <v>5</v>
      </c>
      <c r="AF25" s="1">
        <f t="shared" si="35"/>
        <v>5</v>
      </c>
      <c r="AG25" s="1">
        <f t="shared" si="35"/>
        <v>4</v>
      </c>
    </row>
    <row r="26" spans="1:33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t="s">
        <v>61</v>
      </c>
      <c r="B27" t="s">
        <v>62</v>
      </c>
      <c r="C27">
        <v>4964</v>
      </c>
      <c r="E27" s="1">
        <v>4</v>
      </c>
      <c r="F27" s="1">
        <v>1</v>
      </c>
      <c r="G27" s="1">
        <v>1</v>
      </c>
      <c r="H27" s="1">
        <v>2</v>
      </c>
      <c r="I27" s="1"/>
      <c r="J27" s="1">
        <v>5</v>
      </c>
      <c r="K27" s="1">
        <v>4</v>
      </c>
      <c r="L27" s="1">
        <v>4</v>
      </c>
      <c r="M27" s="1">
        <v>4</v>
      </c>
      <c r="N27" s="1"/>
      <c r="O27" s="1">
        <v>5</v>
      </c>
      <c r="P27" s="1">
        <v>5</v>
      </c>
      <c r="Q27" s="1">
        <v>5</v>
      </c>
      <c r="R27" s="1">
        <v>5</v>
      </c>
      <c r="S27" s="1"/>
      <c r="T27" s="1">
        <v>5</v>
      </c>
      <c r="U27" s="1">
        <v>4</v>
      </c>
      <c r="V27" s="1">
        <v>4</v>
      </c>
      <c r="W27" s="1">
        <v>4</v>
      </c>
      <c r="X27" s="1"/>
      <c r="Y27" s="1">
        <v>4</v>
      </c>
      <c r="Z27" s="1">
        <v>4</v>
      </c>
      <c r="AA27" s="1">
        <v>4</v>
      </c>
      <c r="AB27" s="1">
        <v>4</v>
      </c>
      <c r="AC27" s="1"/>
      <c r="AD27" s="1">
        <v>5</v>
      </c>
      <c r="AE27" s="1">
        <v>5</v>
      </c>
      <c r="AF27" s="1">
        <v>5</v>
      </c>
      <c r="AG27" s="1">
        <v>5</v>
      </c>
    </row>
    <row r="28" spans="1:33" x14ac:dyDescent="0.25">
      <c r="A28" t="s">
        <v>63</v>
      </c>
      <c r="B28" t="s">
        <v>62</v>
      </c>
      <c r="C28">
        <v>44917</v>
      </c>
      <c r="E28" s="1">
        <v>2</v>
      </c>
      <c r="F28" s="1">
        <v>2</v>
      </c>
      <c r="G28" s="1">
        <v>2</v>
      </c>
      <c r="H28" s="1">
        <v>2</v>
      </c>
      <c r="I28" s="1"/>
      <c r="J28" s="1">
        <v>2</v>
      </c>
      <c r="K28" s="1">
        <v>5</v>
      </c>
      <c r="L28" s="1">
        <v>5</v>
      </c>
      <c r="M28" s="1">
        <v>4</v>
      </c>
      <c r="N28" s="1"/>
      <c r="O28" s="1">
        <v>5</v>
      </c>
      <c r="P28" s="1">
        <v>4</v>
      </c>
      <c r="Q28" s="1">
        <v>5</v>
      </c>
      <c r="R28" s="1">
        <v>5</v>
      </c>
      <c r="S28" s="1"/>
      <c r="T28" s="1">
        <v>4</v>
      </c>
      <c r="U28" s="1">
        <v>5</v>
      </c>
      <c r="V28" s="1">
        <v>3</v>
      </c>
      <c r="W28" s="1">
        <v>5</v>
      </c>
      <c r="X28" s="1"/>
      <c r="Y28" s="1">
        <v>5</v>
      </c>
      <c r="Z28" s="1">
        <v>4</v>
      </c>
      <c r="AA28" s="1">
        <v>3</v>
      </c>
      <c r="AB28" s="1">
        <v>3</v>
      </c>
      <c r="AC28" s="1"/>
      <c r="AD28" s="1">
        <v>4</v>
      </c>
      <c r="AE28" s="1">
        <v>5</v>
      </c>
      <c r="AF28" s="1">
        <v>5</v>
      </c>
      <c r="AG28" s="1">
        <v>5</v>
      </c>
    </row>
    <row r="29" spans="1:33" x14ac:dyDescent="0.25">
      <c r="A29" t="s">
        <v>47</v>
      </c>
      <c r="E29" s="1">
        <f t="shared" ref="E29:H29" si="36">AVERAGE(E27:E28)</f>
        <v>3</v>
      </c>
      <c r="F29" s="1">
        <f t="shared" si="36"/>
        <v>1.5</v>
      </c>
      <c r="G29" s="1">
        <f t="shared" si="36"/>
        <v>1.5</v>
      </c>
      <c r="H29" s="1">
        <f t="shared" si="36"/>
        <v>2</v>
      </c>
      <c r="I29" s="1"/>
      <c r="J29" s="1">
        <f t="shared" ref="J29:M29" si="37">AVERAGE(J27:J28)</f>
        <v>3.5</v>
      </c>
      <c r="K29" s="1">
        <f t="shared" si="37"/>
        <v>4.5</v>
      </c>
      <c r="L29" s="1">
        <f t="shared" si="37"/>
        <v>4.5</v>
      </c>
      <c r="M29" s="1">
        <f t="shared" si="37"/>
        <v>4</v>
      </c>
      <c r="N29" s="1"/>
      <c r="O29" s="1">
        <f t="shared" ref="O29:R29" si="38">AVERAGE(O27:O28)</f>
        <v>5</v>
      </c>
      <c r="P29" s="1">
        <f t="shared" si="38"/>
        <v>4.5</v>
      </c>
      <c r="Q29" s="1">
        <f t="shared" si="38"/>
        <v>5</v>
      </c>
      <c r="R29" s="1">
        <f t="shared" si="38"/>
        <v>5</v>
      </c>
      <c r="S29" s="1"/>
      <c r="T29" s="1">
        <f t="shared" ref="T29:W29" si="39">AVERAGE(T27:T28)</f>
        <v>4.5</v>
      </c>
      <c r="U29" s="1">
        <f t="shared" si="39"/>
        <v>4.5</v>
      </c>
      <c r="V29" s="1">
        <f t="shared" si="39"/>
        <v>3.5</v>
      </c>
      <c r="W29" s="1">
        <f t="shared" si="39"/>
        <v>4.5</v>
      </c>
      <c r="X29" s="1"/>
      <c r="Y29" s="1">
        <f t="shared" ref="Y29:AB29" si="40">AVERAGE(Y27:Y28)</f>
        <v>4.5</v>
      </c>
      <c r="Z29" s="1">
        <f t="shared" si="40"/>
        <v>4</v>
      </c>
      <c r="AA29" s="1">
        <f t="shared" si="40"/>
        <v>3.5</v>
      </c>
      <c r="AB29" s="1">
        <f t="shared" si="40"/>
        <v>3.5</v>
      </c>
      <c r="AC29" s="1"/>
      <c r="AD29" s="1">
        <f t="shared" ref="AD29:AG29" si="41">AVERAGE(AD27:AD28)</f>
        <v>4.5</v>
      </c>
      <c r="AE29" s="1">
        <f t="shared" si="41"/>
        <v>5</v>
      </c>
      <c r="AF29" s="1">
        <f t="shared" si="41"/>
        <v>5</v>
      </c>
      <c r="AG29" s="1">
        <f t="shared" si="41"/>
        <v>5</v>
      </c>
    </row>
    <row r="30" spans="1:3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t="s">
        <v>64</v>
      </c>
      <c r="B31" t="s">
        <v>65</v>
      </c>
      <c r="C31">
        <v>5602</v>
      </c>
      <c r="E31" s="1">
        <v>1</v>
      </c>
      <c r="F31" s="1">
        <v>1</v>
      </c>
      <c r="G31" s="1">
        <v>1</v>
      </c>
      <c r="H31" s="1">
        <v>1</v>
      </c>
      <c r="I31" s="1"/>
      <c r="J31" s="1">
        <v>1</v>
      </c>
      <c r="K31" s="1">
        <v>1</v>
      </c>
      <c r="L31" s="1">
        <v>1</v>
      </c>
      <c r="M31" s="1">
        <v>1</v>
      </c>
      <c r="N31" s="1"/>
      <c r="O31" s="1">
        <v>2</v>
      </c>
      <c r="P31" s="1">
        <v>3</v>
      </c>
      <c r="Q31" s="1">
        <v>3</v>
      </c>
      <c r="R31" s="1">
        <v>3</v>
      </c>
      <c r="S31" s="1"/>
      <c r="T31" s="1">
        <v>2</v>
      </c>
      <c r="U31" s="1">
        <v>2</v>
      </c>
      <c r="V31" s="1">
        <v>2</v>
      </c>
      <c r="W31" s="1">
        <v>2</v>
      </c>
      <c r="X31" s="1"/>
      <c r="Y31" s="1">
        <v>4</v>
      </c>
      <c r="Z31" s="1">
        <v>3</v>
      </c>
      <c r="AA31" s="1">
        <v>4</v>
      </c>
      <c r="AB31" s="1">
        <v>3</v>
      </c>
      <c r="AC31" s="1"/>
      <c r="AD31" s="1">
        <v>2</v>
      </c>
      <c r="AE31" s="1">
        <v>3</v>
      </c>
      <c r="AF31" s="1">
        <v>3</v>
      </c>
      <c r="AG31" s="1">
        <v>2</v>
      </c>
    </row>
    <row r="32" spans="1:33" x14ac:dyDescent="0.25">
      <c r="A32" t="s">
        <v>66</v>
      </c>
      <c r="B32" t="s">
        <v>65</v>
      </c>
      <c r="C32">
        <v>10635</v>
      </c>
      <c r="E32" s="1">
        <v>2</v>
      </c>
      <c r="F32" s="1">
        <v>1</v>
      </c>
      <c r="G32" s="1">
        <v>1</v>
      </c>
      <c r="H32" s="1">
        <v>1</v>
      </c>
      <c r="I32" s="1"/>
      <c r="J32" s="1">
        <v>1</v>
      </c>
      <c r="K32" s="1">
        <v>1</v>
      </c>
      <c r="L32" s="1">
        <v>1</v>
      </c>
      <c r="M32" s="1">
        <v>1</v>
      </c>
      <c r="N32" s="1"/>
      <c r="O32" s="1">
        <v>3</v>
      </c>
      <c r="P32" s="1">
        <v>3</v>
      </c>
      <c r="Q32" s="1">
        <v>4</v>
      </c>
      <c r="R32" s="1">
        <v>4</v>
      </c>
      <c r="S32" s="1"/>
      <c r="T32" s="1">
        <v>1</v>
      </c>
      <c r="U32" s="1">
        <v>2</v>
      </c>
      <c r="V32" s="1">
        <v>2</v>
      </c>
      <c r="W32" s="1">
        <v>2</v>
      </c>
      <c r="X32" s="1"/>
      <c r="Y32" s="1">
        <v>2</v>
      </c>
      <c r="Z32" s="1">
        <v>2</v>
      </c>
      <c r="AA32" s="1">
        <v>2</v>
      </c>
      <c r="AB32" s="1">
        <v>2</v>
      </c>
      <c r="AC32" s="1"/>
      <c r="AD32" s="1">
        <v>2</v>
      </c>
      <c r="AE32" s="1">
        <v>2</v>
      </c>
      <c r="AF32" s="1">
        <v>2</v>
      </c>
      <c r="AG32" s="1">
        <v>2</v>
      </c>
    </row>
    <row r="33" spans="1:33" x14ac:dyDescent="0.25">
      <c r="A33" t="s">
        <v>67</v>
      </c>
      <c r="B33" t="s">
        <v>65</v>
      </c>
      <c r="C33">
        <v>11481</v>
      </c>
      <c r="E33" s="1">
        <v>2</v>
      </c>
      <c r="F33" s="1">
        <v>2</v>
      </c>
      <c r="G33" s="1">
        <v>2</v>
      </c>
      <c r="H33" s="1">
        <v>2</v>
      </c>
      <c r="I33" s="1"/>
      <c r="J33" s="1">
        <v>3</v>
      </c>
      <c r="K33" s="1">
        <v>3</v>
      </c>
      <c r="L33" s="1">
        <v>3</v>
      </c>
      <c r="M33" s="1">
        <v>3</v>
      </c>
      <c r="N33" s="1"/>
      <c r="O33" s="1">
        <v>5</v>
      </c>
      <c r="P33" s="1">
        <v>4</v>
      </c>
      <c r="Q33" s="1">
        <v>5</v>
      </c>
      <c r="R33" s="1">
        <v>2</v>
      </c>
      <c r="S33" s="1"/>
      <c r="T33" s="1">
        <v>5</v>
      </c>
      <c r="U33" s="1">
        <v>5</v>
      </c>
      <c r="V33" s="1">
        <v>5</v>
      </c>
      <c r="W33" s="1">
        <v>5</v>
      </c>
      <c r="X33" s="1"/>
      <c r="Y33" s="1">
        <v>5</v>
      </c>
      <c r="Z33" s="1">
        <v>4</v>
      </c>
      <c r="AA33" s="1">
        <v>4</v>
      </c>
      <c r="AB33" s="1">
        <v>4</v>
      </c>
      <c r="AC33" s="1"/>
      <c r="AD33" s="1">
        <v>4</v>
      </c>
      <c r="AE33" s="1">
        <v>4</v>
      </c>
      <c r="AF33" s="1">
        <v>4</v>
      </c>
      <c r="AG33" s="1">
        <v>4</v>
      </c>
    </row>
    <row r="34" spans="1:33" x14ac:dyDescent="0.25">
      <c r="A34" t="s">
        <v>68</v>
      </c>
      <c r="B34" t="s">
        <v>65</v>
      </c>
      <c r="C34">
        <v>7648</v>
      </c>
      <c r="E34" s="1">
        <v>2</v>
      </c>
      <c r="F34" s="1">
        <v>2</v>
      </c>
      <c r="G34" s="1">
        <v>2</v>
      </c>
      <c r="H34" s="1">
        <v>2</v>
      </c>
      <c r="I34" s="1"/>
      <c r="J34" s="1">
        <v>3</v>
      </c>
      <c r="K34" s="1">
        <v>3</v>
      </c>
      <c r="L34" s="1">
        <v>3</v>
      </c>
      <c r="M34" s="1">
        <v>3</v>
      </c>
      <c r="N34" s="1"/>
      <c r="O34" s="1">
        <v>5</v>
      </c>
      <c r="P34" s="1">
        <v>5</v>
      </c>
      <c r="Q34" s="1">
        <v>5</v>
      </c>
      <c r="R34" s="1">
        <v>5</v>
      </c>
      <c r="S34" s="1"/>
      <c r="T34" s="1">
        <v>4</v>
      </c>
      <c r="U34" s="1">
        <v>4</v>
      </c>
      <c r="V34" s="1">
        <v>4</v>
      </c>
      <c r="W34" s="1">
        <v>4</v>
      </c>
      <c r="X34" s="1"/>
      <c r="Y34" s="1">
        <v>4</v>
      </c>
      <c r="Z34" s="1">
        <v>4</v>
      </c>
      <c r="AA34" s="1">
        <v>4</v>
      </c>
      <c r="AB34" s="1">
        <v>4</v>
      </c>
      <c r="AC34" s="1"/>
      <c r="AD34" s="1">
        <v>5</v>
      </c>
      <c r="AE34" s="1">
        <v>5</v>
      </c>
      <c r="AF34" s="1">
        <v>5</v>
      </c>
      <c r="AG34" s="1">
        <v>5</v>
      </c>
    </row>
    <row r="35" spans="1:33" x14ac:dyDescent="0.25">
      <c r="A35" t="s">
        <v>69</v>
      </c>
      <c r="B35" t="s">
        <v>65</v>
      </c>
      <c r="C35">
        <v>65193</v>
      </c>
      <c r="E35" s="1">
        <v>3</v>
      </c>
      <c r="F35" s="1">
        <v>1</v>
      </c>
      <c r="G35" s="1">
        <v>1</v>
      </c>
      <c r="H35" s="1">
        <v>1</v>
      </c>
      <c r="I35" s="1"/>
      <c r="J35" s="1">
        <v>2</v>
      </c>
      <c r="K35" s="1">
        <v>3</v>
      </c>
      <c r="L35" s="1">
        <v>3</v>
      </c>
      <c r="M35" s="1">
        <v>3</v>
      </c>
      <c r="N35" s="1"/>
      <c r="O35" s="1">
        <v>3</v>
      </c>
      <c r="P35" s="1">
        <v>5</v>
      </c>
      <c r="Q35" s="1">
        <v>2</v>
      </c>
      <c r="R35" s="1">
        <v>4</v>
      </c>
      <c r="S35" s="1"/>
      <c r="T35" s="1">
        <v>5</v>
      </c>
      <c r="U35" s="1">
        <v>3</v>
      </c>
      <c r="V35" s="1">
        <v>3</v>
      </c>
      <c r="W35" s="1">
        <v>4</v>
      </c>
      <c r="X35" s="1"/>
      <c r="Y35" s="1">
        <v>5</v>
      </c>
      <c r="Z35" s="1">
        <v>3</v>
      </c>
      <c r="AA35" s="1">
        <v>1</v>
      </c>
      <c r="AB35" s="1">
        <v>4</v>
      </c>
      <c r="AC35" s="1"/>
      <c r="AD35" s="1">
        <v>3</v>
      </c>
      <c r="AE35" s="1">
        <v>3</v>
      </c>
      <c r="AF35" s="1">
        <v>3</v>
      </c>
      <c r="AG35" s="1">
        <v>3</v>
      </c>
    </row>
    <row r="36" spans="1:33" x14ac:dyDescent="0.25">
      <c r="A36" t="s">
        <v>47</v>
      </c>
      <c r="E36" s="1">
        <f t="shared" ref="E36:H36" si="42">AVERAGE(E31:E35)</f>
        <v>2</v>
      </c>
      <c r="F36" s="1">
        <f t="shared" si="42"/>
        <v>1.4</v>
      </c>
      <c r="G36" s="1">
        <f t="shared" si="42"/>
        <v>1.4</v>
      </c>
      <c r="H36" s="1">
        <f t="shared" si="42"/>
        <v>1.4</v>
      </c>
      <c r="I36" s="1"/>
      <c r="J36" s="1">
        <f t="shared" ref="J36:M36" si="43">AVERAGE(J31:J35)</f>
        <v>2</v>
      </c>
      <c r="K36" s="1">
        <f t="shared" si="43"/>
        <v>2.2000000000000002</v>
      </c>
      <c r="L36" s="1">
        <f t="shared" si="43"/>
        <v>2.2000000000000002</v>
      </c>
      <c r="M36" s="1">
        <f t="shared" si="43"/>
        <v>2.2000000000000002</v>
      </c>
      <c r="N36" s="1"/>
      <c r="O36" s="1">
        <f t="shared" ref="O36:R36" si="44">AVERAGE(O31:O35)</f>
        <v>3.6</v>
      </c>
      <c r="P36" s="1">
        <f t="shared" si="44"/>
        <v>4</v>
      </c>
      <c r="Q36" s="1">
        <f t="shared" si="44"/>
        <v>3.8</v>
      </c>
      <c r="R36" s="1">
        <f t="shared" si="44"/>
        <v>3.6</v>
      </c>
      <c r="S36" s="1"/>
      <c r="T36" s="1">
        <f t="shared" ref="T36:W36" si="45">AVERAGE(T31:T35)</f>
        <v>3.4</v>
      </c>
      <c r="U36" s="1">
        <f t="shared" si="45"/>
        <v>3.2</v>
      </c>
      <c r="V36" s="1">
        <f t="shared" si="45"/>
        <v>3.2</v>
      </c>
      <c r="W36" s="1">
        <f t="shared" si="45"/>
        <v>3.4</v>
      </c>
      <c r="X36" s="1"/>
      <c r="Y36" s="1">
        <f t="shared" ref="Y36:AB36" si="46">AVERAGE(Y31:Y35)</f>
        <v>4</v>
      </c>
      <c r="Z36" s="1">
        <f t="shared" si="46"/>
        <v>3.2</v>
      </c>
      <c r="AA36" s="1">
        <f t="shared" si="46"/>
        <v>3</v>
      </c>
      <c r="AB36" s="1">
        <f t="shared" si="46"/>
        <v>3.4</v>
      </c>
      <c r="AC36" s="1"/>
      <c r="AD36" s="1">
        <f t="shared" ref="AD36:AG36" si="47">AVERAGE(AD31:AD35)</f>
        <v>3.2</v>
      </c>
      <c r="AE36" s="1">
        <f t="shared" si="47"/>
        <v>3.4</v>
      </c>
      <c r="AF36" s="1">
        <f t="shared" si="47"/>
        <v>3.4</v>
      </c>
      <c r="AG36" s="1">
        <f t="shared" si="47"/>
        <v>3.2</v>
      </c>
    </row>
    <row r="37" spans="1:33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25">
      <c r="A38" t="s">
        <v>70</v>
      </c>
      <c r="E38" s="1">
        <f t="shared" ref="E38:H38" si="48">AVERAGE(E7,E11,E15,E18,E22,E25,E29,E36)</f>
        <v>1.6875</v>
      </c>
      <c r="F38" s="1">
        <f t="shared" si="48"/>
        <v>1.3625</v>
      </c>
      <c r="G38" s="1">
        <f t="shared" si="48"/>
        <v>1.2375</v>
      </c>
      <c r="H38" s="1">
        <f t="shared" si="48"/>
        <v>1.2375</v>
      </c>
      <c r="I38" s="1"/>
      <c r="J38" s="1">
        <f t="shared" ref="J38:M38" si="49">AVERAGE(J7,J11,J15,J18,J22,J25,J29,J36)</f>
        <v>2.3125</v>
      </c>
      <c r="K38" s="1">
        <f t="shared" si="49"/>
        <v>2.4624999999999999</v>
      </c>
      <c r="L38" s="1">
        <f t="shared" si="49"/>
        <v>2.5249999999999999</v>
      </c>
      <c r="M38" s="1">
        <f t="shared" si="49"/>
        <v>2.4</v>
      </c>
      <c r="N38" s="1"/>
      <c r="O38" s="1">
        <f t="shared" ref="O38:R38" si="50">AVERAGE(O7,O11,O15,O18,O22,O25,O29,O36)</f>
        <v>3.8875000000000002</v>
      </c>
      <c r="P38" s="1">
        <f t="shared" si="50"/>
        <v>4.0625</v>
      </c>
      <c r="Q38" s="1">
        <f t="shared" si="50"/>
        <v>4.4124999999999996</v>
      </c>
      <c r="R38" s="1">
        <f t="shared" si="50"/>
        <v>4.3250000000000002</v>
      </c>
      <c r="S38" s="1"/>
      <c r="T38" s="1">
        <f t="shared" ref="T38:W38" si="51">AVERAGE(T7,T11,T15,T18,T22,T25,T29,T36)</f>
        <v>3.55</v>
      </c>
      <c r="U38" s="1">
        <f t="shared" si="51"/>
        <v>3.5874999999999999</v>
      </c>
      <c r="V38" s="1">
        <f t="shared" si="51"/>
        <v>3.5874999999999999</v>
      </c>
      <c r="W38" s="1">
        <f t="shared" si="51"/>
        <v>3.8624999999999998</v>
      </c>
      <c r="X38" s="1"/>
      <c r="Y38" s="1">
        <f t="shared" ref="Y38:AB38" si="52">AVERAGE(Y7,Y11,Y15,Y18,Y22,Y25,Y29,Y36)</f>
        <v>3.875</v>
      </c>
      <c r="Z38" s="1">
        <f t="shared" si="52"/>
        <v>3.9624999999999999</v>
      </c>
      <c r="AA38" s="1">
        <f t="shared" si="52"/>
        <v>3.875</v>
      </c>
      <c r="AB38" s="1">
        <f t="shared" si="52"/>
        <v>3.9249999999999998</v>
      </c>
      <c r="AC38" s="1"/>
      <c r="AD38" s="1">
        <f t="shared" ref="AD38:AG38" si="53">AVERAGE(AD7,AD11,AD15,AD18,AD22,AD25,AD29,AD36)</f>
        <v>3.9</v>
      </c>
      <c r="AE38" s="1">
        <f t="shared" si="53"/>
        <v>4.1124999999999998</v>
      </c>
      <c r="AF38" s="1">
        <f t="shared" si="53"/>
        <v>3.9874999999999998</v>
      </c>
      <c r="AG38" s="1">
        <f t="shared" si="53"/>
        <v>4.0250000000000004</v>
      </c>
    </row>
    <row r="39" spans="1:33" x14ac:dyDescent="0.25">
      <c r="A39" t="s">
        <v>71</v>
      </c>
      <c r="E39" s="1">
        <f>E38</f>
        <v>1.6875</v>
      </c>
      <c r="F39" s="1"/>
      <c r="G39" s="1"/>
      <c r="H39" s="1"/>
      <c r="I39" s="1"/>
      <c r="J39" s="1">
        <f t="shared" ref="J39" si="54">J38</f>
        <v>2.3125</v>
      </c>
      <c r="K39" s="1"/>
      <c r="L39" s="1"/>
      <c r="M39" s="1"/>
      <c r="N39" s="1"/>
      <c r="O39" s="1">
        <f t="shared" ref="O39" si="55">O38</f>
        <v>3.8875000000000002</v>
      </c>
      <c r="P39" s="1"/>
      <c r="Q39" s="1"/>
      <c r="R39" s="1"/>
      <c r="S39" s="1"/>
      <c r="T39" s="1">
        <f t="shared" ref="T39" si="56">T38</f>
        <v>3.55</v>
      </c>
      <c r="U39" s="1"/>
      <c r="V39" s="1"/>
      <c r="W39" s="1"/>
      <c r="X39" s="1"/>
      <c r="Y39" s="1">
        <f t="shared" ref="Y39" si="57">Y38</f>
        <v>3.875</v>
      </c>
      <c r="Z39" s="1"/>
      <c r="AA39" s="1"/>
      <c r="AB39" s="1"/>
      <c r="AC39" s="1"/>
      <c r="AD39" s="1">
        <f t="shared" ref="AD39" si="58">AD38</f>
        <v>3.9</v>
      </c>
      <c r="AE39" s="1"/>
      <c r="AF39" s="1"/>
      <c r="AG39" s="1"/>
    </row>
    <row r="40" spans="1:33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t="s">
        <v>72</v>
      </c>
      <c r="B41" t="s">
        <v>73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4</v>
      </c>
      <c r="U41" s="1">
        <v>5</v>
      </c>
      <c r="V41" s="1">
        <v>4</v>
      </c>
      <c r="W41" s="1">
        <v>3</v>
      </c>
      <c r="X41" s="1"/>
      <c r="Y41" s="1"/>
      <c r="Z41" s="1"/>
      <c r="AA41" s="1"/>
      <c r="AB41" s="1"/>
      <c r="AC41" s="1"/>
      <c r="AD41" s="1">
        <v>1</v>
      </c>
      <c r="AE41" s="1">
        <v>2</v>
      </c>
      <c r="AF41" s="1">
        <v>2</v>
      </c>
      <c r="AG41" s="1">
        <v>2</v>
      </c>
    </row>
    <row r="42" spans="1:33" x14ac:dyDescent="0.25">
      <c r="A42" t="s">
        <v>74</v>
      </c>
      <c r="B42" t="s">
        <v>73</v>
      </c>
      <c r="C42">
        <v>852</v>
      </c>
      <c r="E42" s="1">
        <v>1</v>
      </c>
      <c r="F42" s="1">
        <v>1</v>
      </c>
      <c r="G42" s="1">
        <v>1</v>
      </c>
      <c r="H42" s="1">
        <v>1</v>
      </c>
      <c r="I42" s="1"/>
      <c r="J42" s="1"/>
      <c r="K42" s="1"/>
      <c r="L42" s="1"/>
      <c r="M42" s="1"/>
      <c r="N42" s="1"/>
      <c r="O42" s="1">
        <v>3</v>
      </c>
      <c r="P42" s="1">
        <v>3</v>
      </c>
      <c r="Q42" s="1">
        <v>3</v>
      </c>
      <c r="R42" s="1">
        <v>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25">
      <c r="A43" t="s">
        <v>75</v>
      </c>
      <c r="B43" t="s">
        <v>73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25">
      <c r="A44" t="s">
        <v>76</v>
      </c>
      <c r="B44" t="s">
        <v>73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3</v>
      </c>
      <c r="Z44" s="1">
        <v>3</v>
      </c>
      <c r="AA44" s="1">
        <v>3</v>
      </c>
      <c r="AB44" s="1">
        <v>3</v>
      </c>
      <c r="AC44" s="1"/>
      <c r="AD44" s="1"/>
      <c r="AE44" s="1"/>
      <c r="AF44" s="1"/>
      <c r="AG44" s="1"/>
    </row>
    <row r="45" spans="1:33" x14ac:dyDescent="0.25">
      <c r="A45" t="s">
        <v>77</v>
      </c>
      <c r="B45" t="s">
        <v>73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1</v>
      </c>
      <c r="P45" s="1">
        <v>2</v>
      </c>
      <c r="Q45" s="1">
        <v>1</v>
      </c>
      <c r="R45" s="1">
        <v>2</v>
      </c>
      <c r="S45" s="1"/>
      <c r="T45" s="1"/>
      <c r="U45" s="1"/>
      <c r="V45" s="1"/>
      <c r="W45" s="1"/>
      <c r="X45" s="1"/>
      <c r="Y45" s="1">
        <v>2</v>
      </c>
      <c r="Z45" s="1">
        <v>2</v>
      </c>
      <c r="AA45" s="1">
        <v>2</v>
      </c>
      <c r="AB45" s="1">
        <v>2</v>
      </c>
      <c r="AC45" s="1"/>
      <c r="AD45" s="1"/>
      <c r="AE45" s="1"/>
      <c r="AF45" s="1"/>
      <c r="AG45" s="1"/>
    </row>
    <row r="46" spans="1:33" x14ac:dyDescent="0.25">
      <c r="A46" t="s">
        <v>78</v>
      </c>
      <c r="B46" t="s">
        <v>73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2</v>
      </c>
      <c r="P46" s="1">
        <v>5</v>
      </c>
      <c r="Q46" s="1">
        <v>2</v>
      </c>
      <c r="R46" s="1">
        <v>5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25">
      <c r="A47" t="s">
        <v>79</v>
      </c>
      <c r="B47" t="s">
        <v>73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5</v>
      </c>
      <c r="U47" s="1">
        <v>5</v>
      </c>
      <c r="V47" s="1">
        <v>5</v>
      </c>
      <c r="W47" s="1">
        <v>5</v>
      </c>
      <c r="X47" s="1"/>
      <c r="Y47" s="1"/>
      <c r="Z47" s="1"/>
      <c r="AA47" s="1"/>
      <c r="AB47" s="1"/>
      <c r="AC47" s="1"/>
      <c r="AD47" s="1">
        <v>1</v>
      </c>
      <c r="AE47" s="1">
        <v>1</v>
      </c>
      <c r="AF47" s="1">
        <v>1</v>
      </c>
      <c r="AG47" s="1">
        <v>1</v>
      </c>
    </row>
    <row r="48" spans="1:33" x14ac:dyDescent="0.25">
      <c r="A48" t="s">
        <v>80</v>
      </c>
      <c r="B48" t="s">
        <v>73</v>
      </c>
      <c r="C48">
        <v>742</v>
      </c>
      <c r="E48" s="1"/>
      <c r="F48" s="1"/>
      <c r="G48" s="1"/>
      <c r="H48" s="1"/>
      <c r="I48" s="1"/>
      <c r="J48" s="1">
        <v>2</v>
      </c>
      <c r="K48" s="1">
        <v>4</v>
      </c>
      <c r="L48" s="1">
        <v>3</v>
      </c>
      <c r="M48" s="1">
        <v>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25">
      <c r="A49" t="s">
        <v>81</v>
      </c>
      <c r="B49" t="s">
        <v>73</v>
      </c>
      <c r="C49">
        <v>811</v>
      </c>
      <c r="E49" s="1">
        <v>1</v>
      </c>
      <c r="F49" s="1">
        <v>1</v>
      </c>
      <c r="G49" s="1">
        <v>1</v>
      </c>
      <c r="H49" s="1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5</v>
      </c>
      <c r="Z49" s="1">
        <v>5</v>
      </c>
      <c r="AA49" s="1">
        <v>5</v>
      </c>
      <c r="AB49" s="1">
        <v>5</v>
      </c>
      <c r="AC49" s="1"/>
      <c r="AD49" s="1"/>
      <c r="AE49" s="1"/>
      <c r="AF49" s="1"/>
      <c r="AG49" s="1"/>
    </row>
    <row r="50" spans="1:33" x14ac:dyDescent="0.25">
      <c r="A50" t="s">
        <v>82</v>
      </c>
      <c r="B50" t="s">
        <v>73</v>
      </c>
      <c r="C50">
        <v>621</v>
      </c>
      <c r="E50" s="1">
        <v>2</v>
      </c>
      <c r="F50" s="1">
        <v>1</v>
      </c>
      <c r="G50" s="1">
        <v>2</v>
      </c>
      <c r="H50" s="1">
        <v>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t="s">
        <v>83</v>
      </c>
      <c r="B51" t="s">
        <v>73</v>
      </c>
      <c r="C51">
        <v>862</v>
      </c>
      <c r="E51" s="1">
        <v>1</v>
      </c>
      <c r="F51" s="1">
        <v>1</v>
      </c>
      <c r="G51" s="1">
        <v>1</v>
      </c>
      <c r="H51" s="1">
        <v>1</v>
      </c>
      <c r="I51" s="1"/>
      <c r="J51" s="1">
        <v>1</v>
      </c>
      <c r="K51" s="1">
        <v>2</v>
      </c>
      <c r="L51" s="1">
        <v>2</v>
      </c>
      <c r="M51" s="1">
        <v>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>
        <v>3</v>
      </c>
      <c r="AE51" s="1">
        <v>3</v>
      </c>
      <c r="AF51" s="1">
        <v>3</v>
      </c>
      <c r="AG51" s="1">
        <v>3</v>
      </c>
    </row>
    <row r="52" spans="1:33" x14ac:dyDescent="0.25">
      <c r="A52" t="s">
        <v>84</v>
      </c>
      <c r="B52" t="s">
        <v>73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4</v>
      </c>
      <c r="U52" s="1">
        <v>3</v>
      </c>
      <c r="V52" s="1">
        <v>5</v>
      </c>
      <c r="W52" s="1">
        <v>3</v>
      </c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25">
      <c r="A53" t="s">
        <v>85</v>
      </c>
      <c r="B53" t="s">
        <v>73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25">
      <c r="A54" t="s">
        <v>86</v>
      </c>
      <c r="B54" t="s">
        <v>73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25">
      <c r="A55" t="s">
        <v>87</v>
      </c>
      <c r="B55" t="s">
        <v>73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4</v>
      </c>
      <c r="AE55" s="1">
        <v>4</v>
      </c>
      <c r="AF55" s="1">
        <v>4</v>
      </c>
      <c r="AG55" s="1">
        <v>4</v>
      </c>
    </row>
    <row r="56" spans="1:33" x14ac:dyDescent="0.25">
      <c r="A56" t="s">
        <v>88</v>
      </c>
      <c r="B56" t="s">
        <v>73</v>
      </c>
      <c r="C56">
        <v>1148</v>
      </c>
      <c r="E56" s="1"/>
      <c r="F56" s="1"/>
      <c r="G56" s="1"/>
      <c r="H56" s="1"/>
      <c r="I56" s="1"/>
      <c r="J56" s="1">
        <v>2</v>
      </c>
      <c r="K56" s="1">
        <v>2</v>
      </c>
      <c r="L56" s="1">
        <v>2</v>
      </c>
      <c r="M56" s="1">
        <v>2</v>
      </c>
      <c r="N56" s="1"/>
      <c r="O56" s="1"/>
      <c r="P56" s="1"/>
      <c r="Q56" s="1"/>
      <c r="R56" s="1"/>
      <c r="S56" s="1"/>
      <c r="T56" s="1">
        <v>4</v>
      </c>
      <c r="U56" s="1">
        <v>4</v>
      </c>
      <c r="V56" s="1">
        <v>4</v>
      </c>
      <c r="W56" s="1">
        <v>4</v>
      </c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25">
      <c r="A57" t="s">
        <v>89</v>
      </c>
      <c r="B57" t="s">
        <v>73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25">
      <c r="A58" t="s">
        <v>90</v>
      </c>
      <c r="B58" t="s">
        <v>73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25">
      <c r="A59" t="s">
        <v>91</v>
      </c>
      <c r="B59" t="s">
        <v>73</v>
      </c>
      <c r="C59">
        <v>1120</v>
      </c>
      <c r="E59" s="1"/>
      <c r="F59" s="1"/>
      <c r="G59" s="1"/>
      <c r="H59" s="1"/>
      <c r="I59" s="1"/>
      <c r="J59" s="1">
        <v>1</v>
      </c>
      <c r="K59" s="1">
        <v>1</v>
      </c>
      <c r="L59" s="1">
        <v>1</v>
      </c>
      <c r="M59" s="1">
        <v>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25">
      <c r="A60" t="s">
        <v>92</v>
      </c>
      <c r="B60" t="s">
        <v>73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2</v>
      </c>
      <c r="P60" s="1">
        <v>3</v>
      </c>
      <c r="Q60" s="1">
        <v>3</v>
      </c>
      <c r="R60" s="1">
        <v>3</v>
      </c>
      <c r="S60" s="1"/>
      <c r="T60" s="1"/>
      <c r="U60" s="1"/>
      <c r="V60" s="1"/>
      <c r="W60" s="1"/>
      <c r="X60" s="1"/>
      <c r="Y60" s="1">
        <v>3</v>
      </c>
      <c r="Z60" s="1">
        <v>3</v>
      </c>
      <c r="AA60" s="1">
        <v>3</v>
      </c>
      <c r="AB60" s="1">
        <v>3</v>
      </c>
      <c r="AC60" s="1"/>
      <c r="AD60" s="1">
        <v>3</v>
      </c>
      <c r="AE60" s="1">
        <v>3</v>
      </c>
      <c r="AF60" s="1">
        <v>3</v>
      </c>
      <c r="AG60" s="1">
        <v>3</v>
      </c>
    </row>
    <row r="61" spans="1:33" x14ac:dyDescent="0.25">
      <c r="A61" t="s">
        <v>93</v>
      </c>
      <c r="B61" t="s">
        <v>73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1</v>
      </c>
      <c r="U61" s="1">
        <v>1</v>
      </c>
      <c r="V61" s="1">
        <v>1</v>
      </c>
      <c r="W61" s="1">
        <v>3</v>
      </c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t="s">
        <v>94</v>
      </c>
      <c r="B62" t="s">
        <v>73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3</v>
      </c>
      <c r="P62" s="1">
        <v>5</v>
      </c>
      <c r="Q62" s="1">
        <v>5</v>
      </c>
      <c r="R62" s="1">
        <v>5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25">
      <c r="A63" t="s">
        <v>95</v>
      </c>
      <c r="B63" t="s">
        <v>73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3</v>
      </c>
      <c r="Z63" s="1">
        <v>3</v>
      </c>
      <c r="AA63" s="1">
        <v>2</v>
      </c>
      <c r="AB63" s="1">
        <v>3</v>
      </c>
      <c r="AC63" s="1"/>
      <c r="AD63" s="1"/>
      <c r="AE63" s="1"/>
      <c r="AF63" s="1"/>
      <c r="AG63" s="1"/>
    </row>
    <row r="64" spans="1:33" x14ac:dyDescent="0.25">
      <c r="A64" t="s">
        <v>96</v>
      </c>
      <c r="B64" t="s">
        <v>73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</v>
      </c>
      <c r="P64" s="1">
        <v>5</v>
      </c>
      <c r="Q64" s="1">
        <v>5</v>
      </c>
      <c r="R64" s="1">
        <v>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>
        <v>3</v>
      </c>
      <c r="AE64" s="1">
        <v>4</v>
      </c>
      <c r="AF64" s="1">
        <v>3</v>
      </c>
      <c r="AG64" s="1">
        <v>4</v>
      </c>
    </row>
    <row r="65" spans="1:33" x14ac:dyDescent="0.25">
      <c r="A65" t="s">
        <v>97</v>
      </c>
      <c r="B65" t="s">
        <v>73</v>
      </c>
      <c r="C65">
        <v>1162</v>
      </c>
      <c r="E65" s="1"/>
      <c r="F65" s="1"/>
      <c r="G65" s="1"/>
      <c r="H65" s="1"/>
      <c r="I65" s="1"/>
      <c r="J65" s="1">
        <v>2</v>
      </c>
      <c r="K65" s="1">
        <v>2</v>
      </c>
      <c r="L65" s="1">
        <v>2</v>
      </c>
      <c r="M65" s="1">
        <v>2</v>
      </c>
      <c r="N65" s="1"/>
      <c r="O65" s="1">
        <v>2</v>
      </c>
      <c r="P65" s="1">
        <v>2</v>
      </c>
      <c r="Q65" s="1">
        <v>2</v>
      </c>
      <c r="R65" s="1">
        <v>2</v>
      </c>
      <c r="S65" s="1"/>
      <c r="T65" s="1">
        <v>2</v>
      </c>
      <c r="U65" s="1">
        <v>3</v>
      </c>
      <c r="V65" s="1">
        <v>3</v>
      </c>
      <c r="W65" s="1">
        <v>3</v>
      </c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t="s">
        <v>98</v>
      </c>
      <c r="B66" t="s">
        <v>73</v>
      </c>
      <c r="C66">
        <v>1768</v>
      </c>
      <c r="E66" s="1">
        <v>1</v>
      </c>
      <c r="F66" s="1">
        <v>1</v>
      </c>
      <c r="G66" s="1">
        <v>1</v>
      </c>
      <c r="H66" s="1">
        <v>1</v>
      </c>
      <c r="I66" s="1"/>
      <c r="J66" s="1">
        <v>3</v>
      </c>
      <c r="K66" s="1">
        <v>3</v>
      </c>
      <c r="L66" s="1">
        <v>3</v>
      </c>
      <c r="M66" s="1">
        <v>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t="s">
        <v>99</v>
      </c>
      <c r="B67" t="s">
        <v>73</v>
      </c>
      <c r="C67">
        <v>1761</v>
      </c>
      <c r="E67" s="1">
        <v>1</v>
      </c>
      <c r="F67" s="1">
        <v>1</v>
      </c>
      <c r="G67" s="1">
        <v>1</v>
      </c>
      <c r="H67" s="1">
        <v>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4</v>
      </c>
      <c r="U67" s="1">
        <v>4</v>
      </c>
      <c r="V67" s="1">
        <v>4</v>
      </c>
      <c r="W67" s="1">
        <v>4</v>
      </c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t="s">
        <v>100</v>
      </c>
      <c r="B68" t="s">
        <v>73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25">
      <c r="A69" t="s">
        <v>101</v>
      </c>
      <c r="B69" t="s">
        <v>73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t="s">
        <v>102</v>
      </c>
      <c r="B70" t="s">
        <v>73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25">
      <c r="A71" t="s">
        <v>47</v>
      </c>
      <c r="E71" s="1">
        <f t="shared" ref="E71:H71" si="59">AVERAGE(E41:E70)</f>
        <v>1.1666666666666667</v>
      </c>
      <c r="F71" s="1">
        <f t="shared" si="59"/>
        <v>1</v>
      </c>
      <c r="G71" s="1">
        <f t="shared" si="59"/>
        <v>1.1666666666666667</v>
      </c>
      <c r="H71" s="1">
        <f t="shared" si="59"/>
        <v>1.3333333333333333</v>
      </c>
      <c r="I71" s="1"/>
      <c r="J71" s="1">
        <f t="shared" ref="J71:M71" si="60">AVERAGE(J41:J70)</f>
        <v>1.8333333333333333</v>
      </c>
      <c r="K71" s="1">
        <f t="shared" si="60"/>
        <v>2.3333333333333335</v>
      </c>
      <c r="L71" s="1">
        <f t="shared" si="60"/>
        <v>2.1666666666666665</v>
      </c>
      <c r="M71" s="1">
        <f t="shared" si="60"/>
        <v>2.3333333333333335</v>
      </c>
      <c r="N71" s="1"/>
      <c r="O71" s="1">
        <f t="shared" ref="O71:R71" si="61">AVERAGE(O41:O70)</f>
        <v>2.5714285714285716</v>
      </c>
      <c r="P71" s="1">
        <f t="shared" si="61"/>
        <v>3.5714285714285716</v>
      </c>
      <c r="Q71" s="1">
        <f t="shared" si="61"/>
        <v>3</v>
      </c>
      <c r="R71" s="1">
        <f t="shared" si="61"/>
        <v>3.5714285714285716</v>
      </c>
      <c r="S71" s="1"/>
      <c r="T71" s="1">
        <f t="shared" ref="T71:W71" si="62">AVERAGE(T41:T70)</f>
        <v>3.4285714285714284</v>
      </c>
      <c r="U71" s="1">
        <f t="shared" si="62"/>
        <v>3.5714285714285716</v>
      </c>
      <c r="V71" s="1">
        <f t="shared" si="62"/>
        <v>3.7142857142857144</v>
      </c>
      <c r="W71" s="1">
        <f t="shared" si="62"/>
        <v>3.5714285714285716</v>
      </c>
      <c r="X71" s="1"/>
      <c r="Y71" s="1">
        <f t="shared" ref="Y71:AB71" si="63">AVERAGE(Y41:Y70)</f>
        <v>3.2</v>
      </c>
      <c r="Z71" s="1">
        <f t="shared" si="63"/>
        <v>3.2</v>
      </c>
      <c r="AA71" s="1">
        <f t="shared" si="63"/>
        <v>3</v>
      </c>
      <c r="AB71" s="1">
        <f t="shared" si="63"/>
        <v>3.2</v>
      </c>
      <c r="AC71" s="1"/>
      <c r="AD71" s="1">
        <f t="shared" ref="AD71:AG71" si="64">AVERAGE(AD41:AD70)</f>
        <v>2.5</v>
      </c>
      <c r="AE71" s="1">
        <f t="shared" si="64"/>
        <v>2.8333333333333335</v>
      </c>
      <c r="AF71" s="1">
        <f t="shared" si="64"/>
        <v>2.6666666666666665</v>
      </c>
      <c r="AG71" s="1">
        <f t="shared" si="64"/>
        <v>2.8333333333333335</v>
      </c>
    </row>
    <row r="72" spans="1:33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x14ac:dyDescent="0.25">
      <c r="A73" t="s">
        <v>103</v>
      </c>
      <c r="E73" s="1">
        <f t="shared" ref="E73" si="65">AVERAGE(E7,E11,E15,E22,E25,E29,E36,E71)</f>
        <v>1.5833333333333333</v>
      </c>
      <c r="F73" s="1">
        <f t="shared" ref="F73:H73" si="66">AVERAGE(F7,F11,F15,F18,F22,F25,F29,F36,F71)</f>
        <v>1.3222222222222222</v>
      </c>
      <c r="G73" s="1">
        <f t="shared" si="66"/>
        <v>1.2296296296296296</v>
      </c>
      <c r="H73" s="1">
        <f t="shared" si="66"/>
        <v>1.2481481481481482</v>
      </c>
      <c r="I73" s="1"/>
      <c r="J73" s="1">
        <f t="shared" ref="J73" si="67">AVERAGE(J7,J11,J15,J22,J25,J29,J36,J71)</f>
        <v>2.1666666666666665</v>
      </c>
      <c r="K73" s="1">
        <f t="shared" ref="K73:M73" si="68">AVERAGE(K7,K11,K15,K18,K22,K25,K29,K36,K71)</f>
        <v>2.4481481481481477</v>
      </c>
      <c r="L73" s="1">
        <f t="shared" si="68"/>
        <v>2.4851851851851854</v>
      </c>
      <c r="M73" s="1">
        <f t="shared" si="68"/>
        <v>2.3925925925925924</v>
      </c>
      <c r="N73" s="1"/>
      <c r="O73" s="1">
        <f t="shared" ref="O73" si="69">AVERAGE(O7,O11,O15,O22,O25,O29,O36,O71)</f>
        <v>3.8339285714285718</v>
      </c>
      <c r="P73" s="1">
        <f t="shared" ref="P73:R73" si="70">AVERAGE(P7,P11,P15,P18,P22,P25,P29,P36,P71)</f>
        <v>4.0079365079365079</v>
      </c>
      <c r="Q73" s="1">
        <f t="shared" si="70"/>
        <v>4.2555555555555555</v>
      </c>
      <c r="R73" s="1">
        <f t="shared" si="70"/>
        <v>4.2412698412698413</v>
      </c>
      <c r="S73" s="1"/>
      <c r="T73" s="1">
        <f t="shared" ref="T73" si="71">AVERAGE(T7,T11,T15,T22,T25,T29,T36,T71)</f>
        <v>3.7285714285714282</v>
      </c>
      <c r="U73" s="1">
        <f t="shared" ref="U73:W73" si="72">AVERAGE(U7,U11,U15,U18,U22,U25,U29,U36,U71)</f>
        <v>3.5857142857142859</v>
      </c>
      <c r="V73" s="1">
        <f t="shared" si="72"/>
        <v>3.6015873015873012</v>
      </c>
      <c r="W73" s="1">
        <f t="shared" si="72"/>
        <v>3.8301587301587299</v>
      </c>
      <c r="X73" s="1"/>
      <c r="Y73" s="1">
        <f t="shared" ref="Y73" si="73">AVERAGE(Y7,Y11,Y15,Y22,Y25,Y29,Y36,Y71)</f>
        <v>3.9</v>
      </c>
      <c r="Z73" s="1">
        <f t="shared" ref="Z73:AB73" si="74">AVERAGE(Z7,Z11,Z15,Z18,Z22,Z25,Z29,Z36,Z71)</f>
        <v>3.8777777777777778</v>
      </c>
      <c r="AA73" s="1">
        <f t="shared" si="74"/>
        <v>3.7777777777777777</v>
      </c>
      <c r="AB73" s="1">
        <f t="shared" si="74"/>
        <v>3.8444444444444446</v>
      </c>
      <c r="AC73" s="1"/>
      <c r="AD73" s="1">
        <f t="shared" ref="AD73" si="75">AVERAGE(AD7,AD11,AD15,AD22,AD25,AD29,AD36,AD71)</f>
        <v>3.8374999999999999</v>
      </c>
      <c r="AE73" s="1">
        <f t="shared" ref="AE73:AG73" si="76">AVERAGE(AE7,AE11,AE15,AE18,AE22,AE25,AE29,AE36,AE71)</f>
        <v>3.9703703703703703</v>
      </c>
      <c r="AF73" s="1">
        <f t="shared" si="76"/>
        <v>3.8407407407407401</v>
      </c>
      <c r="AG73" s="1">
        <f t="shared" si="76"/>
        <v>3.8925925925925933</v>
      </c>
    </row>
    <row r="74" spans="1:33" x14ac:dyDescent="0.25">
      <c r="A74" t="s">
        <v>104</v>
      </c>
      <c r="E74" s="1">
        <f>AVERAGE(E7,E11,E15,E18,E22,E25,E29,E36,E41:E70)</f>
        <v>1.4642857142857142</v>
      </c>
      <c r="F74" s="1">
        <f t="shared" ref="F74:H74" si="77">AVERAGE(F7,F11,F15,F18,F22,F25,F29,F36,F41:F70)</f>
        <v>1.2071428571428571</v>
      </c>
      <c r="G74" s="1">
        <f t="shared" si="77"/>
        <v>1.2071428571428571</v>
      </c>
      <c r="H74" s="1">
        <f t="shared" si="77"/>
        <v>1.2785714285714285</v>
      </c>
      <c r="I74" s="1"/>
      <c r="J74" s="1">
        <f t="shared" ref="J74:M74" si="78">AVERAGE(J7,J11,J15,J18,J22,J25,J29,J36,J41:J70)</f>
        <v>2.1071428571428572</v>
      </c>
      <c r="K74" s="1">
        <f t="shared" si="78"/>
        <v>2.4071428571428575</v>
      </c>
      <c r="L74" s="1">
        <f t="shared" si="78"/>
        <v>2.3714285714285714</v>
      </c>
      <c r="M74" s="1">
        <f t="shared" si="78"/>
        <v>2.3714285714285714</v>
      </c>
      <c r="N74" s="1"/>
      <c r="O74" s="1">
        <f t="shared" ref="O74:R74" si="79">AVERAGE(O7,O11,O15,O18,O22,O25,O29,O36,O41:O70)</f>
        <v>3.2733333333333334</v>
      </c>
      <c r="P74" s="1">
        <f t="shared" si="79"/>
        <v>3.8333333333333335</v>
      </c>
      <c r="Q74" s="1">
        <f t="shared" si="79"/>
        <v>3.753333333333333</v>
      </c>
      <c r="R74" s="1">
        <f t="shared" si="79"/>
        <v>3.9733333333333336</v>
      </c>
      <c r="S74" s="1"/>
      <c r="T74" s="1">
        <f t="shared" ref="T74:W74" si="80">AVERAGE(T7,T11,T15,T18,T22,T25,T29,T36,T41:T70)</f>
        <v>3.4933333333333332</v>
      </c>
      <c r="U74" s="1">
        <f t="shared" si="80"/>
        <v>3.58</v>
      </c>
      <c r="V74" s="1">
        <f t="shared" si="80"/>
        <v>3.6466666666666669</v>
      </c>
      <c r="W74" s="1">
        <f t="shared" si="80"/>
        <v>3.7266666666666666</v>
      </c>
      <c r="X74" s="1"/>
      <c r="Y74" s="1">
        <f t="shared" ref="Y74:AB74" si="81">AVERAGE(Y7,Y11,Y15,Y18,Y22,Y25,Y29,Y36,Y41:Y70)</f>
        <v>3.6153846153846154</v>
      </c>
      <c r="Z74" s="1">
        <f t="shared" si="81"/>
        <v>3.6692307692307695</v>
      </c>
      <c r="AA74" s="1">
        <f t="shared" si="81"/>
        <v>3.5384615384615383</v>
      </c>
      <c r="AB74" s="1">
        <f t="shared" si="81"/>
        <v>3.6461538461538461</v>
      </c>
      <c r="AC74" s="1"/>
      <c r="AD74" s="1">
        <f t="shared" ref="AD74:AG74" si="82">AVERAGE(AD7,AD11,AD15,AD18,AD22,AD25,AD29,AD36,AD41:AD70)</f>
        <v>3.3000000000000003</v>
      </c>
      <c r="AE74" s="1">
        <f t="shared" si="82"/>
        <v>3.5642857142857141</v>
      </c>
      <c r="AF74" s="1">
        <f t="shared" si="82"/>
        <v>3.4214285714285713</v>
      </c>
      <c r="AG74" s="1">
        <f t="shared" si="82"/>
        <v>3.5142857142857147</v>
      </c>
    </row>
    <row r="76" spans="1:33" x14ac:dyDescent="0.25">
      <c r="A76" t="s">
        <v>105</v>
      </c>
    </row>
    <row r="77" spans="1:33" x14ac:dyDescent="0.25">
      <c r="A77" t="s">
        <v>106</v>
      </c>
      <c r="B77" s="1">
        <f>AVERAGE(E74,J74,O74,T74,Y74,AD74)</f>
        <v>2.8755799755799756</v>
      </c>
    </row>
    <row r="78" spans="1:33" x14ac:dyDescent="0.25">
      <c r="A78" t="s">
        <v>107</v>
      </c>
      <c r="B78" s="1">
        <f>AVERAGE(F74,K74,P74,U74,Z74,AE74)</f>
        <v>3.0435225885225883</v>
      </c>
    </row>
    <row r="79" spans="1:33" x14ac:dyDescent="0.25">
      <c r="A79" t="s">
        <v>108</v>
      </c>
      <c r="B79" s="1">
        <f>AVERAGE(G74,L74,Q74,V74,AA74,AF74)</f>
        <v>2.9897435897435898</v>
      </c>
    </row>
    <row r="80" spans="1:33" x14ac:dyDescent="0.25">
      <c r="A80" t="s">
        <v>4</v>
      </c>
      <c r="B80" s="1">
        <f>AVERAGE(H74,M74,R74,W74,AB74,AG74)</f>
        <v>3.0850732600732602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2026-06-03T14:44:15Z</dcterms:created>
  <dcterms:modified xsi:type="dcterms:W3CDTF">2026-06-03T14:44:18Z</dcterms:modified>
</cp:coreProperties>
</file>