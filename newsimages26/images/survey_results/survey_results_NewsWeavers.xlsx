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ian\Documents\"/>
    </mc:Choice>
  </mc:AlternateContent>
  <xr:revisionPtr revIDLastSave="0" documentId="8_{97B3E0FB-7462-44AD-8C6F-23FF34C4AB70}" xr6:coauthVersionLast="47" xr6:coauthVersionMax="47" xr10:uidLastSave="{00000000-0000-0000-0000-000000000000}"/>
  <bookViews>
    <workbookView xWindow="-120" yWindow="-120" windowWidth="29040" windowHeight="17520" xr2:uid="{359A82E4-E8FB-457B-8E56-914779E89208}"/>
  </bookViews>
  <sheets>
    <sheet name="NewsWeav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H74" i="1" l="1"/>
  <c r="AV74" i="1"/>
  <c r="GX73" i="1"/>
  <c r="GS73" i="1"/>
  <c r="ES73" i="1"/>
  <c r="HE71" i="1"/>
  <c r="HD71" i="1"/>
  <c r="HC71" i="1"/>
  <c r="HB71" i="1"/>
  <c r="HA71" i="1"/>
  <c r="GY71" i="1"/>
  <c r="GX71" i="1"/>
  <c r="GW71" i="1"/>
  <c r="GV71" i="1"/>
  <c r="GU71" i="1"/>
  <c r="GS71" i="1"/>
  <c r="GR71" i="1"/>
  <c r="GQ71" i="1"/>
  <c r="GP71" i="1"/>
  <c r="GO71" i="1"/>
  <c r="GM71" i="1"/>
  <c r="GL71" i="1"/>
  <c r="GK71" i="1"/>
  <c r="GJ71" i="1"/>
  <c r="GI71" i="1"/>
  <c r="GG71" i="1"/>
  <c r="GF71" i="1"/>
  <c r="GE71" i="1"/>
  <c r="GD71" i="1"/>
  <c r="GC71" i="1"/>
  <c r="GA71" i="1"/>
  <c r="FZ71" i="1"/>
  <c r="FY71" i="1"/>
  <c r="FX71" i="1"/>
  <c r="FW71" i="1"/>
  <c r="FU71" i="1"/>
  <c r="FT71" i="1"/>
  <c r="FS71" i="1"/>
  <c r="FR71" i="1"/>
  <c r="FQ71" i="1"/>
  <c r="FO71" i="1"/>
  <c r="FN71" i="1"/>
  <c r="FM71" i="1"/>
  <c r="FL71" i="1"/>
  <c r="FK71" i="1"/>
  <c r="FI71" i="1"/>
  <c r="FH71" i="1"/>
  <c r="FG71" i="1"/>
  <c r="FF71" i="1"/>
  <c r="FE71" i="1"/>
  <c r="FC71" i="1"/>
  <c r="FB71" i="1"/>
  <c r="FA71" i="1"/>
  <c r="EZ71" i="1"/>
  <c r="EY71" i="1"/>
  <c r="EW71" i="1"/>
  <c r="EV71" i="1"/>
  <c r="EU71" i="1"/>
  <c r="ET71" i="1"/>
  <c r="ES71" i="1"/>
  <c r="EQ71" i="1"/>
  <c r="EP71" i="1"/>
  <c r="EO71" i="1"/>
  <c r="EN71" i="1"/>
  <c r="EM71" i="1"/>
  <c r="EK71" i="1"/>
  <c r="EJ71" i="1"/>
  <c r="EI71" i="1"/>
  <c r="EH71" i="1"/>
  <c r="EG71" i="1"/>
  <c r="EE71" i="1"/>
  <c r="ED71" i="1"/>
  <c r="EC71" i="1"/>
  <c r="EB71" i="1"/>
  <c r="EA71" i="1"/>
  <c r="DY71" i="1"/>
  <c r="DX71" i="1"/>
  <c r="DW71" i="1"/>
  <c r="DV71" i="1"/>
  <c r="DU71" i="1"/>
  <c r="DS71" i="1"/>
  <c r="DR71" i="1"/>
  <c r="DQ71" i="1"/>
  <c r="DP71" i="1"/>
  <c r="DO71" i="1"/>
  <c r="DM71" i="1"/>
  <c r="DL71" i="1"/>
  <c r="DK71" i="1"/>
  <c r="DJ71" i="1"/>
  <c r="DI71" i="1"/>
  <c r="DG71" i="1"/>
  <c r="DF71" i="1"/>
  <c r="DE71" i="1"/>
  <c r="DD71" i="1"/>
  <c r="DC71" i="1"/>
  <c r="DA71" i="1"/>
  <c r="CZ71" i="1"/>
  <c r="CY71" i="1"/>
  <c r="CX71" i="1"/>
  <c r="CW71" i="1"/>
  <c r="CU71" i="1"/>
  <c r="CT71" i="1"/>
  <c r="CS71" i="1"/>
  <c r="CR71" i="1"/>
  <c r="CQ71" i="1"/>
  <c r="CO71" i="1"/>
  <c r="CN71" i="1"/>
  <c r="CM71" i="1"/>
  <c r="CL71" i="1"/>
  <c r="CK71" i="1"/>
  <c r="CI71" i="1"/>
  <c r="CH71" i="1"/>
  <c r="CG71" i="1"/>
  <c r="CF71" i="1"/>
  <c r="CE71" i="1"/>
  <c r="CC71" i="1"/>
  <c r="CB71" i="1"/>
  <c r="CA71" i="1"/>
  <c r="BZ71" i="1"/>
  <c r="BY71" i="1"/>
  <c r="BW71" i="1"/>
  <c r="BV71" i="1"/>
  <c r="BU71" i="1"/>
  <c r="BT71" i="1"/>
  <c r="BS71" i="1"/>
  <c r="BQ71" i="1"/>
  <c r="BP71" i="1"/>
  <c r="BO71" i="1"/>
  <c r="BN71" i="1"/>
  <c r="BM71" i="1"/>
  <c r="BK71" i="1"/>
  <c r="BJ71" i="1"/>
  <c r="BI71" i="1"/>
  <c r="BH71" i="1"/>
  <c r="BG71" i="1"/>
  <c r="BE71" i="1"/>
  <c r="BD71" i="1"/>
  <c r="BC71" i="1"/>
  <c r="BB71" i="1"/>
  <c r="BA71" i="1"/>
  <c r="AY71" i="1"/>
  <c r="AX71" i="1"/>
  <c r="AW71" i="1"/>
  <c r="AV71" i="1"/>
  <c r="AU71" i="1"/>
  <c r="AS71" i="1"/>
  <c r="AR71" i="1"/>
  <c r="AQ71" i="1"/>
  <c r="AP71" i="1"/>
  <c r="AO71" i="1"/>
  <c r="AM71" i="1"/>
  <c r="AL71" i="1"/>
  <c r="AK71" i="1"/>
  <c r="AJ71" i="1"/>
  <c r="AI71" i="1"/>
  <c r="AG71" i="1"/>
  <c r="AF71" i="1"/>
  <c r="AE71" i="1"/>
  <c r="AD71" i="1"/>
  <c r="AC71" i="1"/>
  <c r="AA71" i="1"/>
  <c r="Z71" i="1"/>
  <c r="Y71" i="1"/>
  <c r="X71" i="1"/>
  <c r="W71" i="1"/>
  <c r="U71" i="1"/>
  <c r="T71" i="1"/>
  <c r="S71" i="1"/>
  <c r="R71" i="1"/>
  <c r="Q71" i="1"/>
  <c r="O71" i="1"/>
  <c r="N71" i="1"/>
  <c r="M71" i="1"/>
  <c r="L71" i="1"/>
  <c r="K71" i="1"/>
  <c r="I71" i="1"/>
  <c r="H71" i="1"/>
  <c r="G71" i="1"/>
  <c r="F71" i="1"/>
  <c r="E71" i="1"/>
  <c r="GK39" i="1"/>
  <c r="ET39" i="1"/>
  <c r="DC39" i="1"/>
  <c r="T39" i="1"/>
  <c r="GE38" i="1"/>
  <c r="HE36" i="1"/>
  <c r="HD36" i="1"/>
  <c r="HC36" i="1"/>
  <c r="HB36" i="1"/>
  <c r="HA36" i="1"/>
  <c r="GY36" i="1"/>
  <c r="GX36" i="1"/>
  <c r="GW36" i="1"/>
  <c r="GV36" i="1"/>
  <c r="GU36" i="1"/>
  <c r="GS36" i="1"/>
  <c r="GR36" i="1"/>
  <c r="GQ36" i="1"/>
  <c r="GP36" i="1"/>
  <c r="GO36" i="1"/>
  <c r="GM36" i="1"/>
  <c r="GL36" i="1"/>
  <c r="GK36" i="1"/>
  <c r="GJ36" i="1"/>
  <c r="GI36" i="1"/>
  <c r="GG36" i="1"/>
  <c r="GF36" i="1"/>
  <c r="GE36" i="1"/>
  <c r="GD36" i="1"/>
  <c r="GC36" i="1"/>
  <c r="GA36" i="1"/>
  <c r="FZ36" i="1"/>
  <c r="FY36" i="1"/>
  <c r="FX36" i="1"/>
  <c r="FW36" i="1"/>
  <c r="FU36" i="1"/>
  <c r="FT36" i="1"/>
  <c r="FS36" i="1"/>
  <c r="FR36" i="1"/>
  <c r="FQ36" i="1"/>
  <c r="FO36" i="1"/>
  <c r="FN36" i="1"/>
  <c r="FM36" i="1"/>
  <c r="FL36" i="1"/>
  <c r="FK36" i="1"/>
  <c r="FI36" i="1"/>
  <c r="FH36" i="1"/>
  <c r="FG36" i="1"/>
  <c r="FG73" i="1" s="1"/>
  <c r="FF36" i="1"/>
  <c r="FE36" i="1"/>
  <c r="FC36" i="1"/>
  <c r="FB36" i="1"/>
  <c r="FA36" i="1"/>
  <c r="EZ36" i="1"/>
  <c r="EY36" i="1"/>
  <c r="EW36" i="1"/>
  <c r="EV36" i="1"/>
  <c r="EU36" i="1"/>
  <c r="ET36" i="1"/>
  <c r="ES36" i="1"/>
  <c r="ES74" i="1" s="1"/>
  <c r="EQ36" i="1"/>
  <c r="EP36" i="1"/>
  <c r="EO36" i="1"/>
  <c r="EN36" i="1"/>
  <c r="EM36" i="1"/>
  <c r="EK36" i="1"/>
  <c r="EJ36" i="1"/>
  <c r="EI36" i="1"/>
  <c r="EH36" i="1"/>
  <c r="EG36" i="1"/>
  <c r="EE36" i="1"/>
  <c r="ED36" i="1"/>
  <c r="EC36" i="1"/>
  <c r="EB36" i="1"/>
  <c r="EA36" i="1"/>
  <c r="DY36" i="1"/>
  <c r="DX36" i="1"/>
  <c r="DW36" i="1"/>
  <c r="DV36" i="1"/>
  <c r="DU36" i="1"/>
  <c r="DS36" i="1"/>
  <c r="DR36" i="1"/>
  <c r="DQ36" i="1"/>
  <c r="DP36" i="1"/>
  <c r="DO36" i="1"/>
  <c r="DM36" i="1"/>
  <c r="DL36" i="1"/>
  <c r="DK36" i="1"/>
  <c r="DJ36" i="1"/>
  <c r="DI36" i="1"/>
  <c r="DG36" i="1"/>
  <c r="DF36" i="1"/>
  <c r="DE36" i="1"/>
  <c r="DD36" i="1"/>
  <c r="DC36" i="1"/>
  <c r="DA36" i="1"/>
  <c r="CZ36" i="1"/>
  <c r="CY36" i="1"/>
  <c r="CX36" i="1"/>
  <c r="CW36" i="1"/>
  <c r="CU36" i="1"/>
  <c r="CT36" i="1"/>
  <c r="CS36" i="1"/>
  <c r="CR36" i="1"/>
  <c r="CQ36" i="1"/>
  <c r="CO36" i="1"/>
  <c r="CN36" i="1"/>
  <c r="CM36" i="1"/>
  <c r="CM74" i="1" s="1"/>
  <c r="CL36" i="1"/>
  <c r="CK36" i="1"/>
  <c r="CI36" i="1"/>
  <c r="CH36" i="1"/>
  <c r="CG36" i="1"/>
  <c r="CF36" i="1"/>
  <c r="CE36" i="1"/>
  <c r="CC36" i="1"/>
  <c r="CB36" i="1"/>
  <c r="CA36" i="1"/>
  <c r="BZ36" i="1"/>
  <c r="BY36" i="1"/>
  <c r="BW36" i="1"/>
  <c r="BV36" i="1"/>
  <c r="BU36" i="1"/>
  <c r="BT36" i="1"/>
  <c r="BS36" i="1"/>
  <c r="BQ36" i="1"/>
  <c r="BP36" i="1"/>
  <c r="BO36" i="1"/>
  <c r="BN36" i="1"/>
  <c r="BM36" i="1"/>
  <c r="BK36" i="1"/>
  <c r="BJ36" i="1"/>
  <c r="BJ73" i="1" s="1"/>
  <c r="BI36" i="1"/>
  <c r="BH36" i="1"/>
  <c r="BG36" i="1"/>
  <c r="BE36" i="1"/>
  <c r="BD36" i="1"/>
  <c r="BC36" i="1"/>
  <c r="BB36" i="1"/>
  <c r="BA36" i="1"/>
  <c r="AY36" i="1"/>
  <c r="AX36" i="1"/>
  <c r="AW36" i="1"/>
  <c r="AV36" i="1"/>
  <c r="AU36" i="1"/>
  <c r="AS36" i="1"/>
  <c r="AR36" i="1"/>
  <c r="AQ36" i="1"/>
  <c r="AP36" i="1"/>
  <c r="AO36" i="1"/>
  <c r="AM36" i="1"/>
  <c r="AL36" i="1"/>
  <c r="AK36" i="1"/>
  <c r="AJ36" i="1"/>
  <c r="AI36" i="1"/>
  <c r="AG36" i="1"/>
  <c r="AF36" i="1"/>
  <c r="AE36" i="1"/>
  <c r="AD36" i="1"/>
  <c r="AC36" i="1"/>
  <c r="AA36" i="1"/>
  <c r="Z36" i="1"/>
  <c r="Y36" i="1"/>
  <c r="X36" i="1"/>
  <c r="W36" i="1"/>
  <c r="U36" i="1"/>
  <c r="T36" i="1"/>
  <c r="S36" i="1"/>
  <c r="S73" i="1" s="1"/>
  <c r="R36" i="1"/>
  <c r="Q36" i="1"/>
  <c r="O36" i="1"/>
  <c r="N36" i="1"/>
  <c r="M36" i="1"/>
  <c r="L36" i="1"/>
  <c r="K36" i="1"/>
  <c r="I36" i="1"/>
  <c r="H36" i="1"/>
  <c r="G36" i="1"/>
  <c r="F36" i="1"/>
  <c r="E36" i="1"/>
  <c r="E74" i="1" s="1"/>
  <c r="HE29" i="1"/>
  <c r="HD29" i="1"/>
  <c r="HC29" i="1"/>
  <c r="HB29" i="1"/>
  <c r="HA29" i="1"/>
  <c r="GY29" i="1"/>
  <c r="GX29" i="1"/>
  <c r="GW29" i="1"/>
  <c r="GV29" i="1"/>
  <c r="GU29" i="1"/>
  <c r="GS29" i="1"/>
  <c r="GR29" i="1"/>
  <c r="GQ29" i="1"/>
  <c r="GP29" i="1"/>
  <c r="GO29" i="1"/>
  <c r="GM29" i="1"/>
  <c r="GL29" i="1"/>
  <c r="GK29" i="1"/>
  <c r="GJ29" i="1"/>
  <c r="GI29" i="1"/>
  <c r="GG29" i="1"/>
  <c r="GF29" i="1"/>
  <c r="GE29" i="1"/>
  <c r="GD29" i="1"/>
  <c r="GC29" i="1"/>
  <c r="GA29" i="1"/>
  <c r="FZ29" i="1"/>
  <c r="FY29" i="1"/>
  <c r="FX29" i="1"/>
  <c r="FW29" i="1"/>
  <c r="FU29" i="1"/>
  <c r="FT29" i="1"/>
  <c r="FS29" i="1"/>
  <c r="FR29" i="1"/>
  <c r="FQ29" i="1"/>
  <c r="FO29" i="1"/>
  <c r="FN29" i="1"/>
  <c r="FM29" i="1"/>
  <c r="FL29" i="1"/>
  <c r="FK29" i="1"/>
  <c r="FI29" i="1"/>
  <c r="FH29" i="1"/>
  <c r="FG29" i="1"/>
  <c r="FF29" i="1"/>
  <c r="FE29" i="1"/>
  <c r="FC29" i="1"/>
  <c r="FB29" i="1"/>
  <c r="FA29" i="1"/>
  <c r="EZ29" i="1"/>
  <c r="EY29" i="1"/>
  <c r="EW29" i="1"/>
  <c r="EV29" i="1"/>
  <c r="EU29" i="1"/>
  <c r="ET29" i="1"/>
  <c r="ES29" i="1"/>
  <c r="EQ29" i="1"/>
  <c r="EP29" i="1"/>
  <c r="EP38" i="1" s="1"/>
  <c r="EO29" i="1"/>
  <c r="EN29" i="1"/>
  <c r="EM29" i="1"/>
  <c r="EK29" i="1"/>
  <c r="EJ29" i="1"/>
  <c r="EI29" i="1"/>
  <c r="EH29" i="1"/>
  <c r="EG29" i="1"/>
  <c r="EE29" i="1"/>
  <c r="ED29" i="1"/>
  <c r="EC29" i="1"/>
  <c r="EB29" i="1"/>
  <c r="EA29" i="1"/>
  <c r="DY29" i="1"/>
  <c r="DX29" i="1"/>
  <c r="DW29" i="1"/>
  <c r="DV29" i="1"/>
  <c r="DU29" i="1"/>
  <c r="DS29" i="1"/>
  <c r="DR29" i="1"/>
  <c r="DQ29" i="1"/>
  <c r="DP29" i="1"/>
  <c r="DO29" i="1"/>
  <c r="DM29" i="1"/>
  <c r="DL29" i="1"/>
  <c r="DK29" i="1"/>
  <c r="DJ29" i="1"/>
  <c r="DI29" i="1"/>
  <c r="DG29" i="1"/>
  <c r="DF29" i="1"/>
  <c r="DE29" i="1"/>
  <c r="DD29" i="1"/>
  <c r="DC29" i="1"/>
  <c r="DA29" i="1"/>
  <c r="CZ29" i="1"/>
  <c r="CY29" i="1"/>
  <c r="CX29" i="1"/>
  <c r="CW29" i="1"/>
  <c r="CU29" i="1"/>
  <c r="CT29" i="1"/>
  <c r="CS29" i="1"/>
  <c r="CR29" i="1"/>
  <c r="CQ29" i="1"/>
  <c r="CO29" i="1"/>
  <c r="CN29" i="1"/>
  <c r="CM29" i="1"/>
  <c r="CL29" i="1"/>
  <c r="CK29" i="1"/>
  <c r="CI29" i="1"/>
  <c r="CH29" i="1"/>
  <c r="CG29" i="1"/>
  <c r="CF29" i="1"/>
  <c r="CE29" i="1"/>
  <c r="CC29" i="1"/>
  <c r="CB29" i="1"/>
  <c r="CA29" i="1"/>
  <c r="BZ29" i="1"/>
  <c r="BY29" i="1"/>
  <c r="BW29" i="1"/>
  <c r="BV29" i="1"/>
  <c r="BU29" i="1"/>
  <c r="BT29" i="1"/>
  <c r="BS29" i="1"/>
  <c r="BQ29" i="1"/>
  <c r="BP29" i="1"/>
  <c r="BO29" i="1"/>
  <c r="BN29" i="1"/>
  <c r="BM29" i="1"/>
  <c r="BK29" i="1"/>
  <c r="BJ29" i="1"/>
  <c r="BI29" i="1"/>
  <c r="BH29" i="1"/>
  <c r="BG29" i="1"/>
  <c r="BE29" i="1"/>
  <c r="BD29" i="1"/>
  <c r="BC29" i="1"/>
  <c r="BB29" i="1"/>
  <c r="BA29" i="1"/>
  <c r="AY29" i="1"/>
  <c r="AX29" i="1"/>
  <c r="AW29" i="1"/>
  <c r="AV29" i="1"/>
  <c r="AU29" i="1"/>
  <c r="AS29" i="1"/>
  <c r="AR29" i="1"/>
  <c r="AQ29" i="1"/>
  <c r="AP29" i="1"/>
  <c r="AO29" i="1"/>
  <c r="AM29" i="1"/>
  <c r="AL29" i="1"/>
  <c r="AK29" i="1"/>
  <c r="AJ29" i="1"/>
  <c r="AI29" i="1"/>
  <c r="AG29" i="1"/>
  <c r="AF29" i="1"/>
  <c r="AE29" i="1"/>
  <c r="AE38" i="1" s="1"/>
  <c r="AD29" i="1"/>
  <c r="AC29" i="1"/>
  <c r="AA29" i="1"/>
  <c r="Z29" i="1"/>
  <c r="Y29" i="1"/>
  <c r="X29" i="1"/>
  <c r="W29" i="1"/>
  <c r="U29" i="1"/>
  <c r="T29" i="1"/>
  <c r="S29" i="1"/>
  <c r="R29" i="1"/>
  <c r="Q29" i="1"/>
  <c r="O29" i="1"/>
  <c r="N29" i="1"/>
  <c r="M29" i="1"/>
  <c r="L29" i="1"/>
  <c r="K29" i="1"/>
  <c r="I29" i="1"/>
  <c r="H29" i="1"/>
  <c r="G29" i="1"/>
  <c r="F29" i="1"/>
  <c r="E29" i="1"/>
  <c r="HE25" i="1"/>
  <c r="HD25" i="1"/>
  <c r="HC25" i="1"/>
  <c r="HB25" i="1"/>
  <c r="HA25" i="1"/>
  <c r="GY25" i="1"/>
  <c r="GX25" i="1"/>
  <c r="GW25" i="1"/>
  <c r="GV25" i="1"/>
  <c r="GU25" i="1"/>
  <c r="GS25" i="1"/>
  <c r="GR25" i="1"/>
  <c r="GQ25" i="1"/>
  <c r="GP25" i="1"/>
  <c r="GO25" i="1"/>
  <c r="GM25" i="1"/>
  <c r="GL25" i="1"/>
  <c r="GK25" i="1"/>
  <c r="GJ25" i="1"/>
  <c r="GI25" i="1"/>
  <c r="GG25" i="1"/>
  <c r="GF25" i="1"/>
  <c r="GE25" i="1"/>
  <c r="GD25" i="1"/>
  <c r="GC25" i="1"/>
  <c r="GA25" i="1"/>
  <c r="FZ25" i="1"/>
  <c r="FY25" i="1"/>
  <c r="FX25" i="1"/>
  <c r="FW25" i="1"/>
  <c r="FU25" i="1"/>
  <c r="FT25" i="1"/>
  <c r="FS25" i="1"/>
  <c r="FR25" i="1"/>
  <c r="FQ25" i="1"/>
  <c r="FO25" i="1"/>
  <c r="FN25" i="1"/>
  <c r="FM25" i="1"/>
  <c r="FL25" i="1"/>
  <c r="FK25" i="1"/>
  <c r="FI25" i="1"/>
  <c r="FH25" i="1"/>
  <c r="FG25" i="1"/>
  <c r="FF25" i="1"/>
  <c r="FE25" i="1"/>
  <c r="FC25" i="1"/>
  <c r="FB25" i="1"/>
  <c r="FA25" i="1"/>
  <c r="EZ25" i="1"/>
  <c r="EY25" i="1"/>
  <c r="EW25" i="1"/>
  <c r="EV25" i="1"/>
  <c r="EU25" i="1"/>
  <c r="ET25" i="1"/>
  <c r="ES25" i="1"/>
  <c r="EQ25" i="1"/>
  <c r="EP25" i="1"/>
  <c r="EO25" i="1"/>
  <c r="EN25" i="1"/>
  <c r="EM25" i="1"/>
  <c r="EK25" i="1"/>
  <c r="EJ25" i="1"/>
  <c r="EI25" i="1"/>
  <c r="EH25" i="1"/>
  <c r="EG25" i="1"/>
  <c r="EE25" i="1"/>
  <c r="ED25" i="1"/>
  <c r="EC25" i="1"/>
  <c r="EB25" i="1"/>
  <c r="EA25" i="1"/>
  <c r="DY25" i="1"/>
  <c r="DX25" i="1"/>
  <c r="DW25" i="1"/>
  <c r="DV25" i="1"/>
  <c r="DU25" i="1"/>
  <c r="DS25" i="1"/>
  <c r="DR25" i="1"/>
  <c r="DQ25" i="1"/>
  <c r="DP25" i="1"/>
  <c r="DO25" i="1"/>
  <c r="DM25" i="1"/>
  <c r="DL25" i="1"/>
  <c r="DK25" i="1"/>
  <c r="DJ25" i="1"/>
  <c r="DI25" i="1"/>
  <c r="DG25" i="1"/>
  <c r="DF25" i="1"/>
  <c r="DE25" i="1"/>
  <c r="DD25" i="1"/>
  <c r="DC25" i="1"/>
  <c r="DA25" i="1"/>
  <c r="CZ25" i="1"/>
  <c r="CY25" i="1"/>
  <c r="CX25" i="1"/>
  <c r="CW25" i="1"/>
  <c r="CU25" i="1"/>
  <c r="CT25" i="1"/>
  <c r="CS25" i="1"/>
  <c r="CR25" i="1"/>
  <c r="CQ25" i="1"/>
  <c r="CO25" i="1"/>
  <c r="CN25" i="1"/>
  <c r="CM25" i="1"/>
  <c r="CL25" i="1"/>
  <c r="CK25" i="1"/>
  <c r="CI25" i="1"/>
  <c r="CH25" i="1"/>
  <c r="CG25" i="1"/>
  <c r="CF25" i="1"/>
  <c r="CE25" i="1"/>
  <c r="CC25" i="1"/>
  <c r="CB25" i="1"/>
  <c r="CA25" i="1"/>
  <c r="BZ25" i="1"/>
  <c r="BY25" i="1"/>
  <c r="BW25" i="1"/>
  <c r="BV25" i="1"/>
  <c r="BU25" i="1"/>
  <c r="BT25" i="1"/>
  <c r="BS25" i="1"/>
  <c r="BQ25" i="1"/>
  <c r="BP25" i="1"/>
  <c r="BO25" i="1"/>
  <c r="BN25" i="1"/>
  <c r="BM25" i="1"/>
  <c r="BK25" i="1"/>
  <c r="BJ25" i="1"/>
  <c r="BI25" i="1"/>
  <c r="BH25" i="1"/>
  <c r="BG25" i="1"/>
  <c r="BE25" i="1"/>
  <c r="BD25" i="1"/>
  <c r="BC25" i="1"/>
  <c r="BB25" i="1"/>
  <c r="BB73" i="1" s="1"/>
  <c r="BA25" i="1"/>
  <c r="AY25" i="1"/>
  <c r="AX25" i="1"/>
  <c r="AW25" i="1"/>
  <c r="AV25" i="1"/>
  <c r="AU25" i="1"/>
  <c r="AS25" i="1"/>
  <c r="AR25" i="1"/>
  <c r="AQ25" i="1"/>
  <c r="AP25" i="1"/>
  <c r="AO25" i="1"/>
  <c r="AM25" i="1"/>
  <c r="AL25" i="1"/>
  <c r="AK25" i="1"/>
  <c r="AJ25" i="1"/>
  <c r="AI25" i="1"/>
  <c r="AG25" i="1"/>
  <c r="AF25" i="1"/>
  <c r="AE25" i="1"/>
  <c r="AD25" i="1"/>
  <c r="AC25" i="1"/>
  <c r="AA25" i="1"/>
  <c r="Z25" i="1"/>
  <c r="Y25" i="1"/>
  <c r="X25" i="1"/>
  <c r="W25" i="1"/>
  <c r="U25" i="1"/>
  <c r="T25" i="1"/>
  <c r="S25" i="1"/>
  <c r="R25" i="1"/>
  <c r="Q25" i="1"/>
  <c r="O25" i="1"/>
  <c r="N25" i="1"/>
  <c r="M25" i="1"/>
  <c r="L25" i="1"/>
  <c r="K25" i="1"/>
  <c r="K73" i="1" s="1"/>
  <c r="I25" i="1"/>
  <c r="H25" i="1"/>
  <c r="G25" i="1"/>
  <c r="F25" i="1"/>
  <c r="E25" i="1"/>
  <c r="HE22" i="1"/>
  <c r="HD22" i="1"/>
  <c r="HC22" i="1"/>
  <c r="HB22" i="1"/>
  <c r="HA22" i="1"/>
  <c r="GY22" i="1"/>
  <c r="GX22" i="1"/>
  <c r="GW22" i="1"/>
  <c r="GV22" i="1"/>
  <c r="GU22" i="1"/>
  <c r="GS22" i="1"/>
  <c r="GR22" i="1"/>
  <c r="GQ22" i="1"/>
  <c r="GP22" i="1"/>
  <c r="GO22" i="1"/>
  <c r="GM22" i="1"/>
  <c r="GL22" i="1"/>
  <c r="GK22" i="1"/>
  <c r="GJ22" i="1"/>
  <c r="GI22" i="1"/>
  <c r="GG22" i="1"/>
  <c r="GF22" i="1"/>
  <c r="GE22" i="1"/>
  <c r="GD22" i="1"/>
  <c r="GC22" i="1"/>
  <c r="GA22" i="1"/>
  <c r="FZ22" i="1"/>
  <c r="FY22" i="1"/>
  <c r="FX22" i="1"/>
  <c r="FW22" i="1"/>
  <c r="FU22" i="1"/>
  <c r="FU74" i="1" s="1"/>
  <c r="FT22" i="1"/>
  <c r="FS22" i="1"/>
  <c r="FR22" i="1"/>
  <c r="FQ22" i="1"/>
  <c r="FO22" i="1"/>
  <c r="FN22" i="1"/>
  <c r="FM22" i="1"/>
  <c r="FL22" i="1"/>
  <c r="FK22" i="1"/>
  <c r="FI22" i="1"/>
  <c r="FH22" i="1"/>
  <c r="FG22" i="1"/>
  <c r="FF22" i="1"/>
  <c r="FE22" i="1"/>
  <c r="FC22" i="1"/>
  <c r="FB22" i="1"/>
  <c r="FA22" i="1"/>
  <c r="EZ22" i="1"/>
  <c r="EY22" i="1"/>
  <c r="EW22" i="1"/>
  <c r="EV22" i="1"/>
  <c r="EU22" i="1"/>
  <c r="ET22" i="1"/>
  <c r="ES22" i="1"/>
  <c r="EQ22" i="1"/>
  <c r="EP22" i="1"/>
  <c r="EO22" i="1"/>
  <c r="EN22" i="1"/>
  <c r="EM22" i="1"/>
  <c r="EK22" i="1"/>
  <c r="EJ22" i="1"/>
  <c r="EI22" i="1"/>
  <c r="EH22" i="1"/>
  <c r="EG22" i="1"/>
  <c r="EE22" i="1"/>
  <c r="ED22" i="1"/>
  <c r="EC22" i="1"/>
  <c r="EB22" i="1"/>
  <c r="EA22" i="1"/>
  <c r="DY22" i="1"/>
  <c r="DX22" i="1"/>
  <c r="DW22" i="1"/>
  <c r="DV22" i="1"/>
  <c r="DU22" i="1"/>
  <c r="DS22" i="1"/>
  <c r="DR22" i="1"/>
  <c r="DQ22" i="1"/>
  <c r="DP22" i="1"/>
  <c r="DO22" i="1"/>
  <c r="DM22" i="1"/>
  <c r="DL22" i="1"/>
  <c r="DK22" i="1"/>
  <c r="DJ22" i="1"/>
  <c r="DI22" i="1"/>
  <c r="DG22" i="1"/>
  <c r="DF22" i="1"/>
  <c r="DE22" i="1"/>
  <c r="DD22" i="1"/>
  <c r="DC22" i="1"/>
  <c r="DA22" i="1"/>
  <c r="DA74" i="1" s="1"/>
  <c r="CZ22" i="1"/>
  <c r="CY22" i="1"/>
  <c r="CX22" i="1"/>
  <c r="CW22" i="1"/>
  <c r="CU22" i="1"/>
  <c r="CT22" i="1"/>
  <c r="CS22" i="1"/>
  <c r="CR22" i="1"/>
  <c r="CQ22" i="1"/>
  <c r="CO22" i="1"/>
  <c r="CN22" i="1"/>
  <c r="CM22" i="1"/>
  <c r="CL22" i="1"/>
  <c r="CK22" i="1"/>
  <c r="CI22" i="1"/>
  <c r="CH22" i="1"/>
  <c r="CG22" i="1"/>
  <c r="CF22" i="1"/>
  <c r="CE22" i="1"/>
  <c r="CC22" i="1"/>
  <c r="CB22" i="1"/>
  <c r="CA22" i="1"/>
  <c r="BZ22" i="1"/>
  <c r="BY22" i="1"/>
  <c r="BW22" i="1"/>
  <c r="BV22" i="1"/>
  <c r="BU22" i="1"/>
  <c r="BT22" i="1"/>
  <c r="BS22" i="1"/>
  <c r="BQ22" i="1"/>
  <c r="BP22" i="1"/>
  <c r="BO22" i="1"/>
  <c r="BN22" i="1"/>
  <c r="BM22" i="1"/>
  <c r="BK22" i="1"/>
  <c r="BJ22" i="1"/>
  <c r="BI22" i="1"/>
  <c r="BH22" i="1"/>
  <c r="BG22" i="1"/>
  <c r="BE22" i="1"/>
  <c r="BD22" i="1"/>
  <c r="BC22" i="1"/>
  <c r="BB22" i="1"/>
  <c r="BA22" i="1"/>
  <c r="AY22" i="1"/>
  <c r="AX22" i="1"/>
  <c r="AW22" i="1"/>
  <c r="AV22" i="1"/>
  <c r="AU22" i="1"/>
  <c r="AS22" i="1"/>
  <c r="AR22" i="1"/>
  <c r="AQ22" i="1"/>
  <c r="AP22" i="1"/>
  <c r="AO22" i="1"/>
  <c r="AM22" i="1"/>
  <c r="AL22" i="1"/>
  <c r="AK22" i="1"/>
  <c r="AJ22" i="1"/>
  <c r="AI22" i="1"/>
  <c r="AG22" i="1"/>
  <c r="AF22" i="1"/>
  <c r="AE22" i="1"/>
  <c r="AD22" i="1"/>
  <c r="AC22" i="1"/>
  <c r="AA22" i="1"/>
  <c r="Z22" i="1"/>
  <c r="Y22" i="1"/>
  <c r="X22" i="1"/>
  <c r="W22" i="1"/>
  <c r="U22" i="1"/>
  <c r="T22" i="1"/>
  <c r="S22" i="1"/>
  <c r="R22" i="1"/>
  <c r="Q22" i="1"/>
  <c r="O22" i="1"/>
  <c r="N22" i="1"/>
  <c r="M22" i="1"/>
  <c r="L22" i="1"/>
  <c r="K22" i="1"/>
  <c r="I22" i="1"/>
  <c r="H22" i="1"/>
  <c r="G22" i="1"/>
  <c r="F22" i="1"/>
  <c r="E22" i="1"/>
  <c r="HE18" i="1"/>
  <c r="HD18" i="1"/>
  <c r="HC18" i="1"/>
  <c r="HB18" i="1"/>
  <c r="HA18" i="1"/>
  <c r="GY18" i="1"/>
  <c r="GX18" i="1"/>
  <c r="GW18" i="1"/>
  <c r="GV18" i="1"/>
  <c r="GU18" i="1"/>
  <c r="GS18" i="1"/>
  <c r="GS38" i="1" s="1"/>
  <c r="GS39" i="1" s="1"/>
  <c r="GR18" i="1"/>
  <c r="GR39" i="1" s="1"/>
  <c r="GQ18" i="1"/>
  <c r="GP18" i="1"/>
  <c r="GO18" i="1"/>
  <c r="GM18" i="1"/>
  <c r="GL18" i="1"/>
  <c r="GK18" i="1"/>
  <c r="GJ18" i="1"/>
  <c r="GI18" i="1"/>
  <c r="GG18" i="1"/>
  <c r="GF18" i="1"/>
  <c r="GE18" i="1"/>
  <c r="GD18" i="1"/>
  <c r="GC18" i="1"/>
  <c r="GA18" i="1"/>
  <c r="FZ18" i="1"/>
  <c r="FY18" i="1"/>
  <c r="FX18" i="1"/>
  <c r="FW18" i="1"/>
  <c r="FU18" i="1"/>
  <c r="FT18" i="1"/>
  <c r="FS18" i="1"/>
  <c r="FR18" i="1"/>
  <c r="FQ18" i="1"/>
  <c r="FQ38" i="1" s="1"/>
  <c r="FO18" i="1"/>
  <c r="FN18" i="1"/>
  <c r="FM18" i="1"/>
  <c r="FL18" i="1"/>
  <c r="FK18" i="1"/>
  <c r="FI18" i="1"/>
  <c r="FH18" i="1"/>
  <c r="FG18" i="1"/>
  <c r="FF18" i="1"/>
  <c r="FE18" i="1"/>
  <c r="FC18" i="1"/>
  <c r="FB18" i="1"/>
  <c r="FB73" i="1" s="1"/>
  <c r="FA18" i="1"/>
  <c r="FA39" i="1" s="1"/>
  <c r="EZ18" i="1"/>
  <c r="EY18" i="1"/>
  <c r="EW18" i="1"/>
  <c r="EV18" i="1"/>
  <c r="EU18" i="1"/>
  <c r="ET18" i="1"/>
  <c r="ES18" i="1"/>
  <c r="EQ18" i="1"/>
  <c r="EP18" i="1"/>
  <c r="EO18" i="1"/>
  <c r="EN18" i="1"/>
  <c r="EM18" i="1"/>
  <c r="EK18" i="1"/>
  <c r="EJ18" i="1"/>
  <c r="EI18" i="1"/>
  <c r="EH18" i="1"/>
  <c r="EG18" i="1"/>
  <c r="EE18" i="1"/>
  <c r="ED18" i="1"/>
  <c r="EC18" i="1"/>
  <c r="EB18" i="1"/>
  <c r="EA18" i="1"/>
  <c r="DY18" i="1"/>
  <c r="DX18" i="1"/>
  <c r="DW18" i="1"/>
  <c r="DV18" i="1"/>
  <c r="DU18" i="1"/>
  <c r="DS18" i="1"/>
  <c r="DR18" i="1"/>
  <c r="DQ18" i="1"/>
  <c r="DP18" i="1"/>
  <c r="DO18" i="1"/>
  <c r="DM18" i="1"/>
  <c r="DL18" i="1"/>
  <c r="DK18" i="1"/>
  <c r="DK73" i="1" s="1"/>
  <c r="DJ18" i="1"/>
  <c r="DJ39" i="1" s="1"/>
  <c r="DI18" i="1"/>
  <c r="DG18" i="1"/>
  <c r="DF18" i="1"/>
  <c r="DE18" i="1"/>
  <c r="DD18" i="1"/>
  <c r="DC18" i="1"/>
  <c r="DA18" i="1"/>
  <c r="CZ18" i="1"/>
  <c r="CY18" i="1"/>
  <c r="CX18" i="1"/>
  <c r="CW18" i="1"/>
  <c r="CU18" i="1"/>
  <c r="CT18" i="1"/>
  <c r="CS18" i="1"/>
  <c r="CR18" i="1"/>
  <c r="CQ18" i="1"/>
  <c r="CO18" i="1"/>
  <c r="CN18" i="1"/>
  <c r="CM18" i="1"/>
  <c r="CL18" i="1"/>
  <c r="CK18" i="1"/>
  <c r="CI18" i="1"/>
  <c r="CH18" i="1"/>
  <c r="CG18" i="1"/>
  <c r="CF18" i="1"/>
  <c r="CE18" i="1"/>
  <c r="CC18" i="1"/>
  <c r="CB18" i="1"/>
  <c r="CA18" i="1"/>
  <c r="BZ18" i="1"/>
  <c r="BY18" i="1"/>
  <c r="BW18" i="1"/>
  <c r="BV18" i="1"/>
  <c r="BU18" i="1"/>
  <c r="BT18" i="1"/>
  <c r="BS18" i="1"/>
  <c r="BS39" i="1" s="1"/>
  <c r="BQ18" i="1"/>
  <c r="BP18" i="1"/>
  <c r="BO18" i="1"/>
  <c r="BN18" i="1"/>
  <c r="BM18" i="1"/>
  <c r="BK18" i="1"/>
  <c r="BJ18" i="1"/>
  <c r="BI18" i="1"/>
  <c r="BH18" i="1"/>
  <c r="BG18" i="1"/>
  <c r="BE18" i="1"/>
  <c r="BE38" i="1" s="1"/>
  <c r="BE39" i="1" s="1"/>
  <c r="BD18" i="1"/>
  <c r="BC18" i="1"/>
  <c r="BB18" i="1"/>
  <c r="BA18" i="1"/>
  <c r="AY18" i="1"/>
  <c r="AX18" i="1"/>
  <c r="AW18" i="1"/>
  <c r="AV18" i="1"/>
  <c r="AU18" i="1"/>
  <c r="AS18" i="1"/>
  <c r="AR18" i="1"/>
  <c r="AQ18" i="1"/>
  <c r="AQ73" i="1" s="1"/>
  <c r="AP18" i="1"/>
  <c r="AO18" i="1"/>
  <c r="AM18" i="1"/>
  <c r="AL18" i="1"/>
  <c r="AK18" i="1"/>
  <c r="AJ18" i="1"/>
  <c r="AI18" i="1"/>
  <c r="AG18" i="1"/>
  <c r="AF18" i="1"/>
  <c r="AE18" i="1"/>
  <c r="AD18" i="1"/>
  <c r="AC18" i="1"/>
  <c r="AA18" i="1"/>
  <c r="Z18" i="1"/>
  <c r="Y18" i="1"/>
  <c r="X18" i="1"/>
  <c r="W18" i="1"/>
  <c r="U18" i="1"/>
  <c r="T18" i="1"/>
  <c r="S18" i="1"/>
  <c r="R18" i="1"/>
  <c r="Q18" i="1"/>
  <c r="O18" i="1"/>
  <c r="N18" i="1"/>
  <c r="M18" i="1"/>
  <c r="L18" i="1"/>
  <c r="K18" i="1"/>
  <c r="I18" i="1"/>
  <c r="H18" i="1"/>
  <c r="G18" i="1"/>
  <c r="F18" i="1"/>
  <c r="E18" i="1"/>
  <c r="HE15" i="1"/>
  <c r="HD15" i="1"/>
  <c r="HC15" i="1"/>
  <c r="HB15" i="1"/>
  <c r="HA15" i="1"/>
  <c r="GY15" i="1"/>
  <c r="GX15" i="1"/>
  <c r="GW15" i="1"/>
  <c r="GW73" i="1" s="1"/>
  <c r="GV15" i="1"/>
  <c r="GU15" i="1"/>
  <c r="GS15" i="1"/>
  <c r="GR15" i="1"/>
  <c r="GQ15" i="1"/>
  <c r="GP15" i="1"/>
  <c r="GO15" i="1"/>
  <c r="GM15" i="1"/>
  <c r="GL15" i="1"/>
  <c r="GL38" i="1" s="1"/>
  <c r="GK15" i="1"/>
  <c r="GJ15" i="1"/>
  <c r="GI15" i="1"/>
  <c r="GI73" i="1" s="1"/>
  <c r="GG15" i="1"/>
  <c r="GF15" i="1"/>
  <c r="GE15" i="1"/>
  <c r="GD15" i="1"/>
  <c r="GD38" i="1" s="1"/>
  <c r="GC15" i="1"/>
  <c r="GA15" i="1"/>
  <c r="FZ15" i="1"/>
  <c r="FY15" i="1"/>
  <c r="FX15" i="1"/>
  <c r="FW15" i="1"/>
  <c r="FU15" i="1"/>
  <c r="FT15" i="1"/>
  <c r="FT39" i="1" s="1"/>
  <c r="FS15" i="1"/>
  <c r="FR15" i="1"/>
  <c r="FQ15" i="1"/>
  <c r="FO15" i="1"/>
  <c r="FO38" i="1" s="1"/>
  <c r="FO39" i="1" s="1"/>
  <c r="FN15" i="1"/>
  <c r="FM15" i="1"/>
  <c r="FL15" i="1"/>
  <c r="FK15" i="1"/>
  <c r="FI15" i="1"/>
  <c r="FH15" i="1"/>
  <c r="FG15" i="1"/>
  <c r="FF15" i="1"/>
  <c r="FF73" i="1" s="1"/>
  <c r="FE15" i="1"/>
  <c r="FC15" i="1"/>
  <c r="FB15" i="1"/>
  <c r="FA15" i="1"/>
  <c r="EZ15" i="1"/>
  <c r="EY15" i="1"/>
  <c r="EW15" i="1"/>
  <c r="EV15" i="1"/>
  <c r="EU15" i="1"/>
  <c r="EU38" i="1" s="1"/>
  <c r="ET15" i="1"/>
  <c r="ES15" i="1"/>
  <c r="EQ15" i="1"/>
  <c r="EP15" i="1"/>
  <c r="EO15" i="1"/>
  <c r="EN15" i="1"/>
  <c r="EM15" i="1"/>
  <c r="EM73" i="1" s="1"/>
  <c r="EK15" i="1"/>
  <c r="EJ15" i="1"/>
  <c r="EI15" i="1"/>
  <c r="EH15" i="1"/>
  <c r="EG15" i="1"/>
  <c r="EE15" i="1"/>
  <c r="ED15" i="1"/>
  <c r="EC15" i="1"/>
  <c r="EC73" i="1" s="1"/>
  <c r="EB15" i="1"/>
  <c r="EA15" i="1"/>
  <c r="DY15" i="1"/>
  <c r="DX15" i="1"/>
  <c r="DX73" i="1" s="1"/>
  <c r="DW15" i="1"/>
  <c r="DV15" i="1"/>
  <c r="DU15" i="1"/>
  <c r="DS15" i="1"/>
  <c r="DR15" i="1"/>
  <c r="DR38" i="1" s="1"/>
  <c r="DQ15" i="1"/>
  <c r="DP15" i="1"/>
  <c r="DO15" i="1"/>
  <c r="DM15" i="1"/>
  <c r="DL15" i="1"/>
  <c r="DK15" i="1"/>
  <c r="DJ15" i="1"/>
  <c r="DI15" i="1"/>
  <c r="DG15" i="1"/>
  <c r="DF15" i="1"/>
  <c r="DE15" i="1"/>
  <c r="DD15" i="1"/>
  <c r="DC15" i="1"/>
  <c r="DA15" i="1"/>
  <c r="CZ15" i="1"/>
  <c r="CY15" i="1"/>
  <c r="CX15" i="1"/>
  <c r="CW15" i="1"/>
  <c r="CU15" i="1"/>
  <c r="CT15" i="1"/>
  <c r="CS15" i="1"/>
  <c r="CR15" i="1"/>
  <c r="CQ15" i="1"/>
  <c r="CQ74" i="1" s="1"/>
  <c r="CO15" i="1"/>
  <c r="CN15" i="1"/>
  <c r="CM15" i="1"/>
  <c r="CL15" i="1"/>
  <c r="CL73" i="1" s="1"/>
  <c r="CK15" i="1"/>
  <c r="CI15" i="1"/>
  <c r="CH15" i="1"/>
  <c r="CG15" i="1"/>
  <c r="CG73" i="1" s="1"/>
  <c r="CF15" i="1"/>
  <c r="CE15" i="1"/>
  <c r="CC15" i="1"/>
  <c r="CB15" i="1"/>
  <c r="CA15" i="1"/>
  <c r="BZ15" i="1"/>
  <c r="BY15" i="1"/>
  <c r="BW15" i="1"/>
  <c r="BW73" i="1" s="1"/>
  <c r="BV15" i="1"/>
  <c r="BU15" i="1"/>
  <c r="BT15" i="1"/>
  <c r="BS15" i="1"/>
  <c r="BS73" i="1" s="1"/>
  <c r="BQ15" i="1"/>
  <c r="BP15" i="1"/>
  <c r="BO15" i="1"/>
  <c r="BN15" i="1"/>
  <c r="BM15" i="1"/>
  <c r="BM38" i="1" s="1"/>
  <c r="BK15" i="1"/>
  <c r="BJ15" i="1"/>
  <c r="BI15" i="1"/>
  <c r="BH15" i="1"/>
  <c r="BG15" i="1"/>
  <c r="BE15" i="1"/>
  <c r="BD15" i="1"/>
  <c r="BD38" i="1" s="1"/>
  <c r="BC15" i="1"/>
  <c r="BB15" i="1"/>
  <c r="BA15" i="1"/>
  <c r="AY15" i="1"/>
  <c r="AY74" i="1" s="1"/>
  <c r="AX15" i="1"/>
  <c r="AW15" i="1"/>
  <c r="AV15" i="1"/>
  <c r="AU15" i="1"/>
  <c r="AU39" i="1" s="1"/>
  <c r="AS15" i="1"/>
  <c r="AR15" i="1"/>
  <c r="AQ15" i="1"/>
  <c r="AP15" i="1"/>
  <c r="AP39" i="1" s="1"/>
  <c r="AO15" i="1"/>
  <c r="AM15" i="1"/>
  <c r="AL15" i="1"/>
  <c r="AK15" i="1"/>
  <c r="AJ15" i="1"/>
  <c r="AJ38" i="1" s="1"/>
  <c r="AI15" i="1"/>
  <c r="AG15" i="1"/>
  <c r="AF15" i="1"/>
  <c r="AE15" i="1"/>
  <c r="AD15" i="1"/>
  <c r="AC15" i="1"/>
  <c r="AA15" i="1"/>
  <c r="Z15" i="1"/>
  <c r="Y15" i="1"/>
  <c r="X15" i="1"/>
  <c r="W15" i="1"/>
  <c r="U15" i="1"/>
  <c r="T15" i="1"/>
  <c r="S15" i="1"/>
  <c r="R15" i="1"/>
  <c r="Q15" i="1"/>
  <c r="O15" i="1"/>
  <c r="N15" i="1"/>
  <c r="M15" i="1"/>
  <c r="M38" i="1" s="1"/>
  <c r="L15" i="1"/>
  <c r="K15" i="1"/>
  <c r="I15" i="1"/>
  <c r="H15" i="1"/>
  <c r="G15" i="1"/>
  <c r="G38" i="1" s="1"/>
  <c r="F15" i="1"/>
  <c r="E15" i="1"/>
  <c r="HE11" i="1"/>
  <c r="HE38" i="1" s="1"/>
  <c r="HE39" i="1" s="1"/>
  <c r="HD11" i="1"/>
  <c r="HC11" i="1"/>
  <c r="HB11" i="1"/>
  <c r="HA11" i="1"/>
  <c r="HA38" i="1" s="1"/>
  <c r="GY11" i="1"/>
  <c r="GX11" i="1"/>
  <c r="GW11" i="1"/>
  <c r="GV11" i="1"/>
  <c r="GU11" i="1"/>
  <c r="GU39" i="1" s="1"/>
  <c r="GS11" i="1"/>
  <c r="GR11" i="1"/>
  <c r="GQ11" i="1"/>
  <c r="GQ39" i="1" s="1"/>
  <c r="GP11" i="1"/>
  <c r="GO11" i="1"/>
  <c r="GM11" i="1"/>
  <c r="GL11" i="1"/>
  <c r="GL74" i="1" s="1"/>
  <c r="GK11" i="1"/>
  <c r="GJ11" i="1"/>
  <c r="GI11" i="1"/>
  <c r="GG11" i="1"/>
  <c r="GG73" i="1" s="1"/>
  <c r="GF11" i="1"/>
  <c r="GF73" i="1" s="1"/>
  <c r="GE11" i="1"/>
  <c r="GD11" i="1"/>
  <c r="GC11" i="1"/>
  <c r="GA11" i="1"/>
  <c r="FZ11" i="1"/>
  <c r="FY11" i="1"/>
  <c r="FX11" i="1"/>
  <c r="FX74" i="1" s="1"/>
  <c r="FW11" i="1"/>
  <c r="FU11" i="1"/>
  <c r="FT11" i="1"/>
  <c r="FS11" i="1"/>
  <c r="FS73" i="1" s="1"/>
  <c r="FR11" i="1"/>
  <c r="FQ11" i="1"/>
  <c r="FO11" i="1"/>
  <c r="FN11" i="1"/>
  <c r="FN38" i="1" s="1"/>
  <c r="FM11" i="1"/>
  <c r="FL11" i="1"/>
  <c r="FK11" i="1"/>
  <c r="FI11" i="1"/>
  <c r="FI38" i="1" s="1"/>
  <c r="FI39" i="1" s="1"/>
  <c r="FH11" i="1"/>
  <c r="FG11" i="1"/>
  <c r="FF11" i="1"/>
  <c r="FE11" i="1"/>
  <c r="FC11" i="1"/>
  <c r="FC73" i="1" s="1"/>
  <c r="FB11" i="1"/>
  <c r="FA11" i="1"/>
  <c r="EZ11" i="1"/>
  <c r="EZ39" i="1" s="1"/>
  <c r="EY11" i="1"/>
  <c r="EW11" i="1"/>
  <c r="EV11" i="1"/>
  <c r="EU11" i="1"/>
  <c r="EU74" i="1" s="1"/>
  <c r="ET11" i="1"/>
  <c r="ES11" i="1"/>
  <c r="EQ11" i="1"/>
  <c r="EP11" i="1"/>
  <c r="EO11" i="1"/>
  <c r="EN11" i="1"/>
  <c r="EM11" i="1"/>
  <c r="EK11" i="1"/>
  <c r="EK38" i="1" s="1"/>
  <c r="EK39" i="1" s="1"/>
  <c r="EJ11" i="1"/>
  <c r="EI11" i="1"/>
  <c r="EH11" i="1"/>
  <c r="EG11" i="1"/>
  <c r="EE11" i="1"/>
  <c r="ED11" i="1"/>
  <c r="EC11" i="1"/>
  <c r="EB11" i="1"/>
  <c r="EA11" i="1"/>
  <c r="DY11" i="1"/>
  <c r="DX11" i="1"/>
  <c r="DW11" i="1"/>
  <c r="DW38" i="1" s="1"/>
  <c r="DV11" i="1"/>
  <c r="DU11" i="1"/>
  <c r="DS11" i="1"/>
  <c r="DR11" i="1"/>
  <c r="DQ11" i="1"/>
  <c r="DP11" i="1"/>
  <c r="DO11" i="1"/>
  <c r="DM11" i="1"/>
  <c r="DM73" i="1" s="1"/>
  <c r="DL11" i="1"/>
  <c r="DL73" i="1" s="1"/>
  <c r="DK11" i="1"/>
  <c r="DJ11" i="1"/>
  <c r="DI11" i="1"/>
  <c r="DI38" i="1" s="1"/>
  <c r="DG11" i="1"/>
  <c r="DF11" i="1"/>
  <c r="DE11" i="1"/>
  <c r="DD11" i="1"/>
  <c r="DD38" i="1" s="1"/>
  <c r="DC11" i="1"/>
  <c r="DA11" i="1"/>
  <c r="CZ11" i="1"/>
  <c r="CY11" i="1"/>
  <c r="CX11" i="1"/>
  <c r="CX38" i="1" s="1"/>
  <c r="CW11" i="1"/>
  <c r="CU11" i="1"/>
  <c r="CT11" i="1"/>
  <c r="CS11" i="1"/>
  <c r="CR11" i="1"/>
  <c r="CQ11" i="1"/>
  <c r="CO11" i="1"/>
  <c r="CO38" i="1" s="1"/>
  <c r="CO39" i="1" s="1"/>
  <c r="CN11" i="1"/>
  <c r="CM11" i="1"/>
  <c r="CL11" i="1"/>
  <c r="CK11" i="1"/>
  <c r="CK73" i="1" s="1"/>
  <c r="CI11" i="1"/>
  <c r="CH11" i="1"/>
  <c r="CH73" i="1" s="1"/>
  <c r="CG11" i="1"/>
  <c r="CF11" i="1"/>
  <c r="CF38" i="1" s="1"/>
  <c r="CE11" i="1"/>
  <c r="CC11" i="1"/>
  <c r="CB11" i="1"/>
  <c r="CA11" i="1"/>
  <c r="CA74" i="1" s="1"/>
  <c r="BZ11" i="1"/>
  <c r="BY11" i="1"/>
  <c r="BW11" i="1"/>
  <c r="BV11" i="1"/>
  <c r="BV38" i="1" s="1"/>
  <c r="BU11" i="1"/>
  <c r="BU38" i="1" s="1"/>
  <c r="BT11" i="1"/>
  <c r="BS11" i="1"/>
  <c r="BQ11" i="1"/>
  <c r="BQ38" i="1" s="1"/>
  <c r="BQ39" i="1" s="1"/>
  <c r="BP11" i="1"/>
  <c r="BO11" i="1"/>
  <c r="BN11" i="1"/>
  <c r="BM11" i="1"/>
  <c r="BK11" i="1"/>
  <c r="BJ11" i="1"/>
  <c r="BI11" i="1"/>
  <c r="BH11" i="1"/>
  <c r="BH73" i="1" s="1"/>
  <c r="BG11" i="1"/>
  <c r="BG73" i="1" s="1"/>
  <c r="BE11" i="1"/>
  <c r="BD11" i="1"/>
  <c r="BC11" i="1"/>
  <c r="BC38" i="1" s="1"/>
  <c r="BB11" i="1"/>
  <c r="BA11" i="1"/>
  <c r="AY11" i="1"/>
  <c r="AX11" i="1"/>
  <c r="AX38" i="1" s="1"/>
  <c r="AW11" i="1"/>
  <c r="AV11" i="1"/>
  <c r="AU11" i="1"/>
  <c r="AS11" i="1"/>
  <c r="AR11" i="1"/>
  <c r="AR38" i="1" s="1"/>
  <c r="AQ11" i="1"/>
  <c r="AP11" i="1"/>
  <c r="AO11" i="1"/>
  <c r="AM11" i="1"/>
  <c r="AL11" i="1"/>
  <c r="AK11" i="1"/>
  <c r="AJ11" i="1"/>
  <c r="AI11" i="1"/>
  <c r="AG11" i="1"/>
  <c r="AF11" i="1"/>
  <c r="AE11" i="1"/>
  <c r="AD11" i="1"/>
  <c r="AD39" i="1" s="1"/>
  <c r="AC11" i="1"/>
  <c r="AA11" i="1"/>
  <c r="Z11" i="1"/>
  <c r="Z38" i="1" s="1"/>
  <c r="Y11" i="1"/>
  <c r="X11" i="1"/>
  <c r="W11" i="1"/>
  <c r="U11" i="1"/>
  <c r="U74" i="1" s="1"/>
  <c r="T11" i="1"/>
  <c r="S11" i="1"/>
  <c r="R11" i="1"/>
  <c r="Q11" i="1"/>
  <c r="Q73" i="1" s="1"/>
  <c r="O11" i="1"/>
  <c r="O73" i="1" s="1"/>
  <c r="N11" i="1"/>
  <c r="M11" i="1"/>
  <c r="L11" i="1"/>
  <c r="L38" i="1" s="1"/>
  <c r="K11" i="1"/>
  <c r="I11" i="1"/>
  <c r="H11" i="1"/>
  <c r="G11" i="1"/>
  <c r="G74" i="1" s="1"/>
  <c r="F11" i="1"/>
  <c r="E11" i="1"/>
  <c r="HE7" i="1"/>
  <c r="HD7" i="1"/>
  <c r="HC7" i="1"/>
  <c r="HC38" i="1" s="1"/>
  <c r="HB7" i="1"/>
  <c r="HA7" i="1"/>
  <c r="GY7" i="1"/>
  <c r="GX7" i="1"/>
  <c r="GW7" i="1"/>
  <c r="GV7" i="1"/>
  <c r="GU7" i="1"/>
  <c r="GS7" i="1"/>
  <c r="GR7" i="1"/>
  <c r="GQ7" i="1"/>
  <c r="GP7" i="1"/>
  <c r="GO7" i="1"/>
  <c r="GM7" i="1"/>
  <c r="GM74" i="1" s="1"/>
  <c r="GL7" i="1"/>
  <c r="GK7" i="1"/>
  <c r="GK38" i="1" s="1"/>
  <c r="GJ7" i="1"/>
  <c r="GI7" i="1"/>
  <c r="GG7" i="1"/>
  <c r="GF7" i="1"/>
  <c r="GE7" i="1"/>
  <c r="GD7" i="1"/>
  <c r="GC7" i="1"/>
  <c r="GA7" i="1"/>
  <c r="FZ7" i="1"/>
  <c r="FZ73" i="1" s="1"/>
  <c r="FY7" i="1"/>
  <c r="FX7" i="1"/>
  <c r="FW7" i="1"/>
  <c r="FW74" i="1" s="1"/>
  <c r="FU7" i="1"/>
  <c r="FT7" i="1"/>
  <c r="FS7" i="1"/>
  <c r="FR7" i="1"/>
  <c r="FR39" i="1" s="1"/>
  <c r="FQ7" i="1"/>
  <c r="FO7" i="1"/>
  <c r="FN7" i="1"/>
  <c r="FM7" i="1"/>
  <c r="FL7" i="1"/>
  <c r="FL39" i="1" s="1"/>
  <c r="FK7" i="1"/>
  <c r="FI7" i="1"/>
  <c r="FH7" i="1"/>
  <c r="FH39" i="1" s="1"/>
  <c r="FG7" i="1"/>
  <c r="FF7" i="1"/>
  <c r="FE7" i="1"/>
  <c r="FC7" i="1"/>
  <c r="FB7" i="1"/>
  <c r="FA7" i="1"/>
  <c r="EZ7" i="1"/>
  <c r="EY7" i="1"/>
  <c r="EW7" i="1"/>
  <c r="EW38" i="1" s="1"/>
  <c r="EW39" i="1" s="1"/>
  <c r="EV7" i="1"/>
  <c r="EU7" i="1"/>
  <c r="ET7" i="1"/>
  <c r="ES7" i="1"/>
  <c r="EQ7" i="1"/>
  <c r="EP7" i="1"/>
  <c r="EO7" i="1"/>
  <c r="EN7" i="1"/>
  <c r="EM7" i="1"/>
  <c r="EK7" i="1"/>
  <c r="EJ7" i="1"/>
  <c r="EI7" i="1"/>
  <c r="EH7" i="1"/>
  <c r="EH74" i="1" s="1"/>
  <c r="EG7" i="1"/>
  <c r="EE7" i="1"/>
  <c r="ED7" i="1"/>
  <c r="EC7" i="1"/>
  <c r="EB7" i="1"/>
  <c r="EA7" i="1"/>
  <c r="DY7" i="1"/>
  <c r="DX7" i="1"/>
  <c r="DW7" i="1"/>
  <c r="DV7" i="1"/>
  <c r="DV74" i="1" s="1"/>
  <c r="DU7" i="1"/>
  <c r="DU74" i="1" s="1"/>
  <c r="DS7" i="1"/>
  <c r="DR7" i="1"/>
  <c r="DQ7" i="1"/>
  <c r="DQ39" i="1" s="1"/>
  <c r="DP7" i="1"/>
  <c r="DO7" i="1"/>
  <c r="DM7" i="1"/>
  <c r="DL7" i="1"/>
  <c r="DK7" i="1"/>
  <c r="DJ7" i="1"/>
  <c r="DI7" i="1"/>
  <c r="DG7" i="1"/>
  <c r="DG74" i="1" s="1"/>
  <c r="DF7" i="1"/>
  <c r="DF73" i="1" s="1"/>
  <c r="DE7" i="1"/>
  <c r="DD7" i="1"/>
  <c r="DC7" i="1"/>
  <c r="DA7" i="1"/>
  <c r="CZ7" i="1"/>
  <c r="CY7" i="1"/>
  <c r="CX7" i="1"/>
  <c r="CX39" i="1" s="1"/>
  <c r="CW7" i="1"/>
  <c r="CU7" i="1"/>
  <c r="CT7" i="1"/>
  <c r="CS7" i="1"/>
  <c r="CR7" i="1"/>
  <c r="CQ7" i="1"/>
  <c r="CO7" i="1"/>
  <c r="CN7" i="1"/>
  <c r="CM7" i="1"/>
  <c r="CL7" i="1"/>
  <c r="CK7" i="1"/>
  <c r="CK38" i="1" s="1"/>
  <c r="CI7" i="1"/>
  <c r="CI38" i="1" s="1"/>
  <c r="CI39" i="1" s="1"/>
  <c r="CH7" i="1"/>
  <c r="CG7" i="1"/>
  <c r="CF7" i="1"/>
  <c r="CE7" i="1"/>
  <c r="CC7" i="1"/>
  <c r="CB7" i="1"/>
  <c r="CA7" i="1"/>
  <c r="BZ7" i="1"/>
  <c r="BZ73" i="1" s="1"/>
  <c r="BY7" i="1"/>
  <c r="BW7" i="1"/>
  <c r="BV7" i="1"/>
  <c r="BU7" i="1"/>
  <c r="BU74" i="1" s="1"/>
  <c r="BT7" i="1"/>
  <c r="BS7" i="1"/>
  <c r="BQ7" i="1"/>
  <c r="BP7" i="1"/>
  <c r="BO7" i="1"/>
  <c r="BO73" i="1" s="1"/>
  <c r="BN7" i="1"/>
  <c r="BM7" i="1"/>
  <c r="BK7" i="1"/>
  <c r="BJ7" i="1"/>
  <c r="BI7" i="1"/>
  <c r="BH7" i="1"/>
  <c r="BG7" i="1"/>
  <c r="BE7" i="1"/>
  <c r="BD7" i="1"/>
  <c r="BC7" i="1"/>
  <c r="BB7" i="1"/>
  <c r="BA7" i="1"/>
  <c r="BA38" i="1" s="1"/>
  <c r="AY7" i="1"/>
  <c r="AX7" i="1"/>
  <c r="AW7" i="1"/>
  <c r="AW74" i="1" s="1"/>
  <c r="AV7" i="1"/>
  <c r="AU7" i="1"/>
  <c r="AS7" i="1"/>
  <c r="AR7" i="1"/>
  <c r="AR39" i="1" s="1"/>
  <c r="AQ7" i="1"/>
  <c r="AP7" i="1"/>
  <c r="AO7" i="1"/>
  <c r="AM7" i="1"/>
  <c r="AM38" i="1" s="1"/>
  <c r="AM39" i="1" s="1"/>
  <c r="AL7" i="1"/>
  <c r="AL39" i="1" s="1"/>
  <c r="AK7" i="1"/>
  <c r="AJ7" i="1"/>
  <c r="AI7" i="1"/>
  <c r="AI39" i="1" s="1"/>
  <c r="AG7" i="1"/>
  <c r="AF7" i="1"/>
  <c r="AE7" i="1"/>
  <c r="AD7" i="1"/>
  <c r="AC7" i="1"/>
  <c r="AA7" i="1"/>
  <c r="Z7" i="1"/>
  <c r="Y7" i="1"/>
  <c r="X7" i="1"/>
  <c r="X73" i="1" s="1"/>
  <c r="W7" i="1"/>
  <c r="W74" i="1" s="1"/>
  <c r="U7" i="1"/>
  <c r="T7" i="1"/>
  <c r="S7" i="1"/>
  <c r="R7" i="1"/>
  <c r="Q7" i="1"/>
  <c r="O7" i="1"/>
  <c r="O38" i="1" s="1"/>
  <c r="O39" i="1" s="1"/>
  <c r="N7" i="1"/>
  <c r="M7" i="1"/>
  <c r="L7" i="1"/>
  <c r="K7" i="1"/>
  <c r="I7" i="1"/>
  <c r="H7" i="1"/>
  <c r="G7" i="1"/>
  <c r="F7" i="1"/>
  <c r="F74" i="1" s="1"/>
  <c r="E7" i="1"/>
  <c r="GA73" i="1" l="1"/>
  <c r="GA38" i="1"/>
  <c r="GA39" i="1" s="1"/>
  <c r="GA74" i="1"/>
  <c r="DA73" i="1"/>
  <c r="L39" i="1"/>
  <c r="R39" i="1"/>
  <c r="BI39" i="1"/>
  <c r="EQ73" i="1"/>
  <c r="GI39" i="1"/>
  <c r="DJ38" i="1"/>
  <c r="DK38" i="1"/>
  <c r="BU39" i="1"/>
  <c r="DQ74" i="1"/>
  <c r="FC38" i="1"/>
  <c r="FC39" i="1" s="1"/>
  <c r="DR74" i="1"/>
  <c r="BG74" i="1"/>
  <c r="BG38" i="1"/>
  <c r="EA73" i="1"/>
  <c r="EA74" i="1"/>
  <c r="GF38" i="1"/>
  <c r="DX39" i="1"/>
  <c r="AE74" i="1"/>
  <c r="AE39" i="1"/>
  <c r="BV74" i="1"/>
  <c r="BV73" i="1"/>
  <c r="BV39" i="1"/>
  <c r="DM74" i="1"/>
  <c r="DM38" i="1"/>
  <c r="DM39" i="1" s="1"/>
  <c r="FE39" i="1"/>
  <c r="GV39" i="1"/>
  <c r="DX38" i="1"/>
  <c r="FL38" i="1"/>
  <c r="EA39" i="1"/>
  <c r="AE73" i="1"/>
  <c r="O74" i="1"/>
  <c r="GF74" i="1"/>
  <c r="I38" i="1"/>
  <c r="I39" i="1" s="1"/>
  <c r="I73" i="1"/>
  <c r="I74" i="1"/>
  <c r="BA39" i="1"/>
  <c r="BA73" i="1"/>
  <c r="CR39" i="1"/>
  <c r="CR73" i="1"/>
  <c r="EI39" i="1"/>
  <c r="EI74" i="1"/>
  <c r="EI38" i="1"/>
  <c r="GO39" i="1"/>
  <c r="GO73" i="1"/>
  <c r="GO74" i="1"/>
  <c r="BS38" i="1"/>
  <c r="CX73" i="1"/>
  <c r="CX74" i="1"/>
  <c r="Y39" i="1"/>
  <c r="Y38" i="1"/>
  <c r="BP73" i="1"/>
  <c r="BP39" i="1"/>
  <c r="BP38" i="1"/>
  <c r="DG73" i="1"/>
  <c r="DG38" i="1"/>
  <c r="DG39" i="1" s="1"/>
  <c r="EY73" i="1"/>
  <c r="EY39" i="1"/>
  <c r="EY74" i="1"/>
  <c r="HD73" i="1"/>
  <c r="HD39" i="1"/>
  <c r="HD74" i="1"/>
  <c r="HD38" i="1"/>
  <c r="DI39" i="1"/>
  <c r="FL74" i="1"/>
  <c r="GQ38" i="1"/>
  <c r="AU73" i="1"/>
  <c r="DO73" i="1"/>
  <c r="FT73" i="1"/>
  <c r="AL38" i="1"/>
  <c r="EY38" i="1"/>
  <c r="DL39" i="1"/>
  <c r="BA74" i="1"/>
  <c r="BZ39" i="1"/>
  <c r="BM74" i="1"/>
  <c r="AD73" i="1"/>
  <c r="BU73" i="1"/>
  <c r="EO73" i="1"/>
  <c r="FR73" i="1"/>
  <c r="FR38" i="1"/>
  <c r="FR74" i="1"/>
  <c r="GU73" i="1"/>
  <c r="GU38" i="1"/>
  <c r="CG39" i="1"/>
  <c r="Y73" i="1"/>
  <c r="FL73" i="1"/>
  <c r="BP74" i="1"/>
  <c r="Q74" i="1"/>
  <c r="Q39" i="1"/>
  <c r="AS74" i="1"/>
  <c r="AS38" i="1"/>
  <c r="AS39" i="1" s="1"/>
  <c r="BH74" i="1"/>
  <c r="BH39" i="1"/>
  <c r="BH38" i="1"/>
  <c r="CK74" i="1"/>
  <c r="CK39" i="1"/>
  <c r="CY74" i="1"/>
  <c r="CY73" i="1"/>
  <c r="CY39" i="1"/>
  <c r="CY38" i="1"/>
  <c r="EB74" i="1"/>
  <c r="EB39" i="1"/>
  <c r="EP74" i="1"/>
  <c r="FS39" i="1"/>
  <c r="EA38" i="1"/>
  <c r="CL39" i="1"/>
  <c r="EC39" i="1"/>
  <c r="AL73" i="1"/>
  <c r="EB73" i="1"/>
  <c r="BZ74" i="1"/>
  <c r="BO39" i="1"/>
  <c r="BO74" i="1"/>
  <c r="BO38" i="1"/>
  <c r="DF39" i="1"/>
  <c r="DF74" i="1"/>
  <c r="FZ39" i="1"/>
  <c r="FZ74" i="1"/>
  <c r="DF38" i="1"/>
  <c r="AM74" i="1"/>
  <c r="CE73" i="1"/>
  <c r="CE39" i="1"/>
  <c r="CE38" i="1"/>
  <c r="CE74" i="1"/>
  <c r="DV73" i="1"/>
  <c r="DV39" i="1"/>
  <c r="DV38" i="1"/>
  <c r="FM73" i="1"/>
  <c r="FM39" i="1"/>
  <c r="FM38" i="1"/>
  <c r="Z39" i="1"/>
  <c r="BC39" i="1"/>
  <c r="AF73" i="1"/>
  <c r="CZ73" i="1"/>
  <c r="FF39" i="1"/>
  <c r="GW39" i="1"/>
  <c r="FM74" i="1"/>
  <c r="BZ38" i="1"/>
  <c r="GO38" i="1"/>
  <c r="AR74" i="1"/>
  <c r="CI74" i="1"/>
  <c r="CI73" i="1"/>
  <c r="DL74" i="1"/>
  <c r="DL38" i="1"/>
  <c r="FC74" i="1"/>
  <c r="E38" i="1"/>
  <c r="E73" i="1"/>
  <c r="S38" i="1"/>
  <c r="S74" i="1"/>
  <c r="AG38" i="1"/>
  <c r="AG39" i="1" s="1"/>
  <c r="AG73" i="1"/>
  <c r="AG74" i="1"/>
  <c r="AV38" i="1"/>
  <c r="AV73" i="1"/>
  <c r="BJ38" i="1"/>
  <c r="BJ74" i="1"/>
  <c r="BY38" i="1"/>
  <c r="BY73" i="1"/>
  <c r="BY39" i="1"/>
  <c r="BY74" i="1"/>
  <c r="CM38" i="1"/>
  <c r="DA38" i="1"/>
  <c r="DA39" i="1" s="1"/>
  <c r="DP38" i="1"/>
  <c r="DP74" i="1"/>
  <c r="DP39" i="1"/>
  <c r="DP73" i="1"/>
  <c r="ED38" i="1"/>
  <c r="ED74" i="1"/>
  <c r="ED73" i="1"/>
  <c r="ES38" i="1"/>
  <c r="FG38" i="1"/>
  <c r="FG74" i="1"/>
  <c r="FG39" i="1"/>
  <c r="FU38" i="1"/>
  <c r="FU39" i="1" s="1"/>
  <c r="FU73" i="1"/>
  <c r="GJ38" i="1"/>
  <c r="GJ74" i="1"/>
  <c r="GJ73" i="1"/>
  <c r="GX38" i="1"/>
  <c r="GX39" i="1"/>
  <c r="GX74" i="1"/>
  <c r="Q38" i="1"/>
  <c r="CR38" i="1"/>
  <c r="EB38" i="1"/>
  <c r="E39" i="1"/>
  <c r="AV39" i="1"/>
  <c r="CM39" i="1"/>
  <c r="ED39" i="1"/>
  <c r="AM73" i="1"/>
  <c r="GD73" i="1"/>
  <c r="EO74" i="1"/>
  <c r="X39" i="1"/>
  <c r="X38" i="1"/>
  <c r="X74" i="1"/>
  <c r="CC73" i="1"/>
  <c r="CC74" i="1"/>
  <c r="CC38" i="1"/>
  <c r="CC39" i="1" s="1"/>
  <c r="DU39" i="1"/>
  <c r="DU38" i="1"/>
  <c r="DU73" i="1"/>
  <c r="EW73" i="1"/>
  <c r="EW74" i="1"/>
  <c r="HC39" i="1"/>
  <c r="HC73" i="1"/>
  <c r="K39" i="1"/>
  <c r="K38" i="1"/>
  <c r="K74" i="1"/>
  <c r="B77" i="1" s="1"/>
  <c r="BB39" i="1"/>
  <c r="BB74" i="1"/>
  <c r="BB38" i="1"/>
  <c r="CS73" i="1"/>
  <c r="CS39" i="1"/>
  <c r="CS74" i="1"/>
  <c r="EJ73" i="1"/>
  <c r="EJ39" i="1"/>
  <c r="EJ74" i="1"/>
  <c r="EJ38" i="1"/>
  <c r="GP73" i="1"/>
  <c r="GP39" i="1"/>
  <c r="GP38" i="1"/>
  <c r="F73" i="1"/>
  <c r="F38" i="1"/>
  <c r="T73" i="1"/>
  <c r="T74" i="1"/>
  <c r="AI73" i="1"/>
  <c r="AI74" i="1"/>
  <c r="AI38" i="1"/>
  <c r="AW73" i="1"/>
  <c r="AW38" i="1"/>
  <c r="BK73" i="1"/>
  <c r="BK74" i="1"/>
  <c r="BK38" i="1"/>
  <c r="BK39" i="1" s="1"/>
  <c r="CN73" i="1"/>
  <c r="CN74" i="1"/>
  <c r="CN38" i="1"/>
  <c r="DC73" i="1"/>
  <c r="DC38" i="1"/>
  <c r="DC74" i="1"/>
  <c r="DQ73" i="1"/>
  <c r="DQ38" i="1"/>
  <c r="EE73" i="1"/>
  <c r="EE74" i="1"/>
  <c r="ET73" i="1"/>
  <c r="ET74" i="1"/>
  <c r="ET38" i="1"/>
  <c r="FH73" i="1"/>
  <c r="FH38" i="1"/>
  <c r="FW73" i="1"/>
  <c r="FW38" i="1"/>
  <c r="GK73" i="1"/>
  <c r="GK74" i="1"/>
  <c r="GY73" i="1"/>
  <c r="GY38" i="1"/>
  <c r="GY39" i="1" s="1"/>
  <c r="GY74" i="1"/>
  <c r="T38" i="1"/>
  <c r="CS38" i="1"/>
  <c r="EE38" i="1"/>
  <c r="EE39" i="1" s="1"/>
  <c r="F39" i="1"/>
  <c r="AW39" i="1"/>
  <c r="CN39" i="1"/>
  <c r="FW39" i="1"/>
  <c r="EI73" i="1"/>
  <c r="Y74" i="1"/>
  <c r="GP74" i="1"/>
  <c r="M73" i="1"/>
  <c r="AA38" i="1"/>
  <c r="AA39" i="1" s="1"/>
  <c r="AP38" i="1"/>
  <c r="BD73" i="1"/>
  <c r="CG38" i="1"/>
  <c r="CU73" i="1"/>
  <c r="DJ73" i="1"/>
  <c r="EM38" i="1"/>
  <c r="FA73" i="1"/>
  <c r="FO73" i="1"/>
  <c r="GD39" i="1"/>
  <c r="GR73" i="1"/>
  <c r="FZ38" i="1"/>
  <c r="BG39" i="1"/>
  <c r="EO39" i="1"/>
  <c r="GF39" i="1"/>
  <c r="AR73" i="1"/>
  <c r="AD74" i="1"/>
  <c r="GU74" i="1"/>
  <c r="H38" i="1"/>
  <c r="H73" i="1"/>
  <c r="H39" i="1"/>
  <c r="H74" i="1"/>
  <c r="W38" i="1"/>
  <c r="W73" i="1"/>
  <c r="W39" i="1"/>
  <c r="AK38" i="1"/>
  <c r="AK73" i="1"/>
  <c r="AK39" i="1"/>
  <c r="AK74" i="1"/>
  <c r="AY38" i="1"/>
  <c r="AY39" i="1" s="1"/>
  <c r="AY73" i="1"/>
  <c r="BN38" i="1"/>
  <c r="BN73" i="1"/>
  <c r="BN39" i="1"/>
  <c r="BN74" i="1"/>
  <c r="CB38" i="1"/>
  <c r="CB73" i="1"/>
  <c r="CB39" i="1"/>
  <c r="CB74" i="1"/>
  <c r="CQ38" i="1"/>
  <c r="CQ73" i="1"/>
  <c r="CQ39" i="1"/>
  <c r="DE38" i="1"/>
  <c r="DE73" i="1"/>
  <c r="DE39" i="1"/>
  <c r="DE74" i="1"/>
  <c r="DS38" i="1"/>
  <c r="DS39" i="1" s="1"/>
  <c r="DS73" i="1"/>
  <c r="DS74" i="1"/>
  <c r="EH38" i="1"/>
  <c r="EH73" i="1"/>
  <c r="EH39" i="1"/>
  <c r="EV38" i="1"/>
  <c r="EV73" i="1"/>
  <c r="EV39" i="1"/>
  <c r="FK38" i="1"/>
  <c r="FK73" i="1"/>
  <c r="FK39" i="1"/>
  <c r="FK74" i="1"/>
  <c r="FY38" i="1"/>
  <c r="FY73" i="1"/>
  <c r="FY39" i="1"/>
  <c r="FY74" i="1"/>
  <c r="GM38" i="1"/>
  <c r="GM39" i="1" s="1"/>
  <c r="GM73" i="1"/>
  <c r="HB38" i="1"/>
  <c r="HB73" i="1"/>
  <c r="HB39" i="1"/>
  <c r="HB74" i="1"/>
  <c r="N73" i="1"/>
  <c r="N38" i="1"/>
  <c r="AC38" i="1"/>
  <c r="AC73" i="1"/>
  <c r="AQ38" i="1"/>
  <c r="BE73" i="1"/>
  <c r="BT73" i="1"/>
  <c r="BT38" i="1"/>
  <c r="CH38" i="1"/>
  <c r="CW73" i="1"/>
  <c r="CW38" i="1"/>
  <c r="DY73" i="1"/>
  <c r="DY38" i="1"/>
  <c r="DY39" i="1" s="1"/>
  <c r="EN38" i="1"/>
  <c r="FB38" i="1"/>
  <c r="FQ73" i="1"/>
  <c r="GE73" i="1"/>
  <c r="AD38" i="1"/>
  <c r="EO38" i="1"/>
  <c r="S39" i="1"/>
  <c r="BJ39" i="1"/>
  <c r="ES39" i="1"/>
  <c r="GJ39" i="1"/>
  <c r="AS73" i="1"/>
  <c r="CM73" i="1"/>
  <c r="EN73" i="1"/>
  <c r="AL74" i="1"/>
  <c r="CR74" i="1"/>
  <c r="EV74" i="1"/>
  <c r="HC74" i="1"/>
  <c r="G73" i="1"/>
  <c r="U73" i="1"/>
  <c r="AJ73" i="1"/>
  <c r="AX73" i="1"/>
  <c r="BM73" i="1"/>
  <c r="CA73" i="1"/>
  <c r="CO73" i="1"/>
  <c r="DD73" i="1"/>
  <c r="DR73" i="1"/>
  <c r="EG73" i="1"/>
  <c r="EU73" i="1"/>
  <c r="FI73" i="1"/>
  <c r="FX73" i="1"/>
  <c r="GL73" i="1"/>
  <c r="HA73" i="1"/>
  <c r="BM39" i="1"/>
  <c r="DD39" i="1"/>
  <c r="EU39" i="1"/>
  <c r="GL39" i="1"/>
  <c r="R73" i="1"/>
  <c r="AP73" i="1"/>
  <c r="BI73" i="1"/>
  <c r="FE73" i="1"/>
  <c r="AX74" i="1"/>
  <c r="AO73" i="1"/>
  <c r="AO74" i="1"/>
  <c r="BQ73" i="1"/>
  <c r="BQ74" i="1"/>
  <c r="CT73" i="1"/>
  <c r="CT74" i="1"/>
  <c r="DW73" i="1"/>
  <c r="DW74" i="1"/>
  <c r="EZ73" i="1"/>
  <c r="EZ74" i="1"/>
  <c r="GC73" i="1"/>
  <c r="GC74" i="1"/>
  <c r="HE73" i="1"/>
  <c r="HE74" i="1"/>
  <c r="U38" i="1"/>
  <c r="U39" i="1" s="1"/>
  <c r="CT38" i="1"/>
  <c r="EG38" i="1"/>
  <c r="AA74" i="1"/>
  <c r="BS74" i="1"/>
  <c r="CU74" i="1"/>
  <c r="DX74" i="1"/>
  <c r="FA74" i="1"/>
  <c r="GR74" i="1"/>
  <c r="CU38" i="1"/>
  <c r="CU39" i="1" s="1"/>
  <c r="FA38" i="1"/>
  <c r="AF39" i="1"/>
  <c r="CT39" i="1"/>
  <c r="DO39" i="1"/>
  <c r="GC39" i="1"/>
  <c r="EP73" i="1"/>
  <c r="AJ74" i="1"/>
  <c r="HA74" i="1"/>
  <c r="L73" i="1"/>
  <c r="L74" i="1"/>
  <c r="B78" i="1" s="1"/>
  <c r="Z73" i="1"/>
  <c r="Z74" i="1"/>
  <c r="BC73" i="1"/>
  <c r="BC74" i="1"/>
  <c r="CF73" i="1"/>
  <c r="CF74" i="1"/>
  <c r="DI73" i="1"/>
  <c r="DI74" i="1"/>
  <c r="EK73" i="1"/>
  <c r="EK74" i="1"/>
  <c r="FN73" i="1"/>
  <c r="FN74" i="1"/>
  <c r="GQ73" i="1"/>
  <c r="GQ74" i="1"/>
  <c r="AO38" i="1"/>
  <c r="CA38" i="1"/>
  <c r="EZ38" i="1"/>
  <c r="G39" i="1"/>
  <c r="AX39" i="1"/>
  <c r="EG39" i="1"/>
  <c r="FX39" i="1"/>
  <c r="AA73" i="1"/>
  <c r="DD74" i="1"/>
  <c r="M74" i="1"/>
  <c r="B79" i="1" s="1"/>
  <c r="AP74" i="1"/>
  <c r="BD74" i="1"/>
  <c r="CG74" i="1"/>
  <c r="DJ74" i="1"/>
  <c r="EM74" i="1"/>
  <c r="FO74" i="1"/>
  <c r="GD74" i="1"/>
  <c r="N39" i="1"/>
  <c r="AC39" i="1"/>
  <c r="AQ39" i="1"/>
  <c r="BE74" i="1"/>
  <c r="BT39" i="1"/>
  <c r="CH39" i="1"/>
  <c r="CW39" i="1"/>
  <c r="DK39" i="1"/>
  <c r="DY74" i="1"/>
  <c r="EN39" i="1"/>
  <c r="FB39" i="1"/>
  <c r="FQ39" i="1"/>
  <c r="GE39" i="1"/>
  <c r="GS74" i="1"/>
  <c r="FX38" i="1"/>
  <c r="GR38" i="1"/>
  <c r="M39" i="1"/>
  <c r="BD39" i="1"/>
  <c r="EM39" i="1"/>
  <c r="EG74" i="1"/>
  <c r="FE74" i="1"/>
  <c r="FS74" i="1"/>
  <c r="FS38" i="1"/>
  <c r="GG74" i="1"/>
  <c r="GG38" i="1"/>
  <c r="GG39" i="1" s="1"/>
  <c r="GV74" i="1"/>
  <c r="GV38" i="1"/>
  <c r="FE38" i="1"/>
  <c r="AJ39" i="1"/>
  <c r="CA39" i="1"/>
  <c r="DR39" i="1"/>
  <c r="EP39" i="1"/>
  <c r="HA39" i="1"/>
  <c r="FI74" i="1"/>
  <c r="R74" i="1"/>
  <c r="AF74" i="1"/>
  <c r="AU74" i="1"/>
  <c r="BI74" i="1"/>
  <c r="BW74" i="1"/>
  <c r="CL74" i="1"/>
  <c r="CZ74" i="1"/>
  <c r="DO74" i="1"/>
  <c r="EC74" i="1"/>
  <c r="EQ74" i="1"/>
  <c r="FF74" i="1"/>
  <c r="FT74" i="1"/>
  <c r="GI74" i="1"/>
  <c r="GW74" i="1"/>
  <c r="GC38" i="1"/>
  <c r="AO39" i="1"/>
  <c r="CF39" i="1"/>
  <c r="CZ39" i="1"/>
  <c r="DW39" i="1"/>
  <c r="FN39" i="1"/>
  <c r="GV73" i="1"/>
  <c r="CO74" i="1"/>
  <c r="R38" i="1"/>
  <c r="AF38" i="1"/>
  <c r="AU38" i="1"/>
  <c r="BI38" i="1"/>
  <c r="BW38" i="1"/>
  <c r="BW39" i="1" s="1"/>
  <c r="CL38" i="1"/>
  <c r="CZ38" i="1"/>
  <c r="DO38" i="1"/>
  <c r="EC38" i="1"/>
  <c r="EQ38" i="1"/>
  <c r="EQ39" i="1" s="1"/>
  <c r="FF38" i="1"/>
  <c r="FT38" i="1"/>
  <c r="GI38" i="1"/>
  <c r="GW38" i="1"/>
  <c r="N74" i="1"/>
  <c r="AC74" i="1"/>
  <c r="AQ74" i="1"/>
  <c r="BT74" i="1"/>
  <c r="CH74" i="1"/>
  <c r="CW74" i="1"/>
  <c r="DK74" i="1"/>
  <c r="EN74" i="1"/>
  <c r="FB74" i="1"/>
  <c r="FQ74" i="1"/>
  <c r="GE74" i="1"/>
  <c r="B81" i="1" l="1"/>
  <c r="B80" i="1"/>
</calcChain>
</file>

<file path=xl/sharedStrings.xml><?xml version="1.0" encoding="utf-8"?>
<sst xmlns="http://schemas.openxmlformats.org/spreadsheetml/2006/main" count="641" uniqueCount="242">
  <si>
    <t>Group Name</t>
  </si>
  <si>
    <t>NewsWeavers</t>
  </si>
  <si>
    <t>BASELINE</t>
  </si>
  <si>
    <t>Run Name</t>
  </si>
  <si>
    <t>Qwen 3B Plan LoRA FLUX</t>
  </si>
  <si>
    <t>Qwen 3B Plan LoRA SDXL</t>
  </si>
  <si>
    <t>Qwen 3B Plan Prompt Zero Shot FLUX</t>
  </si>
  <si>
    <t>Qwen 3B Plan Prompt Zero Shot SDXL</t>
  </si>
  <si>
    <t>Original Images</t>
  </si>
  <si>
    <t>ResponseId</t>
  </si>
  <si>
    <t>Group</t>
  </si>
  <si>
    <t>Duration (in seconds)</t>
  </si>
  <si>
    <t>8511_21</t>
  </si>
  <si>
    <t>8511_22</t>
  </si>
  <si>
    <t>8511_23</t>
  </si>
  <si>
    <t>8511_24</t>
  </si>
  <si>
    <t>8511_29</t>
  </si>
  <si>
    <t>8516_21</t>
  </si>
  <si>
    <t>8516_22</t>
  </si>
  <si>
    <t>8516_23</t>
  </si>
  <si>
    <t>8516_24</t>
  </si>
  <si>
    <t>8516_29</t>
  </si>
  <si>
    <t>8519_21</t>
  </si>
  <si>
    <t>8519_22</t>
  </si>
  <si>
    <t>8519_23</t>
  </si>
  <si>
    <t>8519_24</t>
  </si>
  <si>
    <t>8519_29</t>
  </si>
  <si>
    <t>8526_21</t>
  </si>
  <si>
    <t>8526_22</t>
  </si>
  <si>
    <t>8526_23</t>
  </si>
  <si>
    <t>8526_24</t>
  </si>
  <si>
    <t>8526_29</t>
  </si>
  <si>
    <t>8546_21</t>
  </si>
  <si>
    <t>8546_22</t>
  </si>
  <si>
    <t>8546_23</t>
  </si>
  <si>
    <t>8546_24</t>
  </si>
  <si>
    <t>8546_29</t>
  </si>
  <si>
    <t>8598_21</t>
  </si>
  <si>
    <t>8598_22</t>
  </si>
  <si>
    <t>8598_23</t>
  </si>
  <si>
    <t>8598_24</t>
  </si>
  <si>
    <t>8598_29</t>
  </si>
  <si>
    <t>8865_21</t>
  </si>
  <si>
    <t>8865_22</t>
  </si>
  <si>
    <t>8865_23</t>
  </si>
  <si>
    <t>8865_24</t>
  </si>
  <si>
    <t>8865_29</t>
  </si>
  <si>
    <t>9181_21</t>
  </si>
  <si>
    <t>9181_22</t>
  </si>
  <si>
    <t>9181_23</t>
  </si>
  <si>
    <t>9181_24</t>
  </si>
  <si>
    <t>9181_29</t>
  </si>
  <si>
    <t>9621_21</t>
  </si>
  <si>
    <t>9621_22</t>
  </si>
  <si>
    <t>9621_23</t>
  </si>
  <si>
    <t>9621_24</t>
  </si>
  <si>
    <t>9621_29</t>
  </si>
  <si>
    <t>10741_21</t>
  </si>
  <si>
    <t>10741_22</t>
  </si>
  <si>
    <t>10741_23</t>
  </si>
  <si>
    <t>10741_24</t>
  </si>
  <si>
    <t>10741_29</t>
  </si>
  <si>
    <t>11115_21</t>
  </si>
  <si>
    <t>11115_22</t>
  </si>
  <si>
    <t>11115_23</t>
  </si>
  <si>
    <t>11115_24</t>
  </si>
  <si>
    <t>11115_29</t>
  </si>
  <si>
    <t>11292_21</t>
  </si>
  <si>
    <t>11292_22</t>
  </si>
  <si>
    <t>11292_23</t>
  </si>
  <si>
    <t>11292_24</t>
  </si>
  <si>
    <t>11292_29</t>
  </si>
  <si>
    <t>13570_21</t>
  </si>
  <si>
    <t>13570_22</t>
  </si>
  <si>
    <t>13570_23</t>
  </si>
  <si>
    <t>13570_24</t>
  </si>
  <si>
    <t>13570_29</t>
  </si>
  <si>
    <t>14053_21</t>
  </si>
  <si>
    <t>14053_22</t>
  </si>
  <si>
    <t>14053_23</t>
  </si>
  <si>
    <t>14053_24</t>
  </si>
  <si>
    <t>14053_29</t>
  </si>
  <si>
    <t>14609_21</t>
  </si>
  <si>
    <t>14609_22</t>
  </si>
  <si>
    <t>14609_23</t>
  </si>
  <si>
    <t>14609_24</t>
  </si>
  <si>
    <t>14609_29</t>
  </si>
  <si>
    <t>15235_21</t>
  </si>
  <si>
    <t>15235_22</t>
  </si>
  <si>
    <t>15235_23</t>
  </si>
  <si>
    <t>15235_24</t>
  </si>
  <si>
    <t>15235_29</t>
  </si>
  <si>
    <t>15399_21</t>
  </si>
  <si>
    <t>15399_22</t>
  </si>
  <si>
    <t>15399_23</t>
  </si>
  <si>
    <t>15399_24</t>
  </si>
  <si>
    <t>15399_29</t>
  </si>
  <si>
    <t>15433_21</t>
  </si>
  <si>
    <t>15433_22</t>
  </si>
  <si>
    <t>15433_23</t>
  </si>
  <si>
    <t>15433_24</t>
  </si>
  <si>
    <t>15433_29</t>
  </si>
  <si>
    <t>16259_21</t>
  </si>
  <si>
    <t>16259_22</t>
  </si>
  <si>
    <t>16259_23</t>
  </si>
  <si>
    <t>16259_24</t>
  </si>
  <si>
    <t>16259_29</t>
  </si>
  <si>
    <t>16533_21</t>
  </si>
  <si>
    <t>16533_22</t>
  </si>
  <si>
    <t>16533_23</t>
  </si>
  <si>
    <t>16533_24</t>
  </si>
  <si>
    <t>16533_29</t>
  </si>
  <si>
    <t>17126_21</t>
  </si>
  <si>
    <t>17126_22</t>
  </si>
  <si>
    <t>17126_23</t>
  </si>
  <si>
    <t>17126_24</t>
  </si>
  <si>
    <t>17126_29</t>
  </si>
  <si>
    <t>17280_21</t>
  </si>
  <si>
    <t>17280_22</t>
  </si>
  <si>
    <t>17280_23</t>
  </si>
  <si>
    <t>17280_24</t>
  </si>
  <si>
    <t>17280_29</t>
  </si>
  <si>
    <t>19089_21</t>
  </si>
  <si>
    <t>19089_22</t>
  </si>
  <si>
    <t>19089_23</t>
  </si>
  <si>
    <t>19089_24</t>
  </si>
  <si>
    <t>19089_29</t>
  </si>
  <si>
    <t>19314_21</t>
  </si>
  <si>
    <t>19314_22</t>
  </si>
  <si>
    <t>19314_23</t>
  </si>
  <si>
    <t>19314_24</t>
  </si>
  <si>
    <t>19314_29</t>
  </si>
  <si>
    <t>19378_21</t>
  </si>
  <si>
    <t>19378_22</t>
  </si>
  <si>
    <t>19378_23</t>
  </si>
  <si>
    <t>19378_24</t>
  </si>
  <si>
    <t>19378_29</t>
  </si>
  <si>
    <t>19445_21</t>
  </si>
  <si>
    <t>19445_22</t>
  </si>
  <si>
    <t>19445_23</t>
  </si>
  <si>
    <t>19445_24</t>
  </si>
  <si>
    <t>19445_29</t>
  </si>
  <si>
    <t>19925_21</t>
  </si>
  <si>
    <t>19925_22</t>
  </si>
  <si>
    <t>19925_23</t>
  </si>
  <si>
    <t>19925_24</t>
  </si>
  <si>
    <t>19925_29</t>
  </si>
  <si>
    <t>20011_21</t>
  </si>
  <si>
    <t>20011_22</t>
  </si>
  <si>
    <t>20011_23</t>
  </si>
  <si>
    <t>20011_24</t>
  </si>
  <si>
    <t>20011_29</t>
  </si>
  <si>
    <t>21268_21</t>
  </si>
  <si>
    <t>21268_22</t>
  </si>
  <si>
    <t>21268_23</t>
  </si>
  <si>
    <t>21268_24</t>
  </si>
  <si>
    <t>21268_29</t>
  </si>
  <si>
    <t>21269_21</t>
  </si>
  <si>
    <t>21269_22</t>
  </si>
  <si>
    <t>21269_23</t>
  </si>
  <si>
    <t>21269_24</t>
  </si>
  <si>
    <t>21269_29</t>
  </si>
  <si>
    <t>22554_21</t>
  </si>
  <si>
    <t>22554_22</t>
  </si>
  <si>
    <t>22554_23</t>
  </si>
  <si>
    <t>22554_24</t>
  </si>
  <si>
    <t>22554_29</t>
  </si>
  <si>
    <t>22584_21</t>
  </si>
  <si>
    <t>22584_22</t>
  </si>
  <si>
    <t>22584_23</t>
  </si>
  <si>
    <t>22584_24</t>
  </si>
  <si>
    <t>22584_29</t>
  </si>
  <si>
    <t>23390_21</t>
  </si>
  <si>
    <t>23390_22</t>
  </si>
  <si>
    <t>23390_23</t>
  </si>
  <si>
    <t>23390_24</t>
  </si>
  <si>
    <t>23390_29</t>
  </si>
  <si>
    <t>23503_21</t>
  </si>
  <si>
    <t>23503_22</t>
  </si>
  <si>
    <t>23503_23</t>
  </si>
  <si>
    <t>23503_24</t>
  </si>
  <si>
    <t>23503_29</t>
  </si>
  <si>
    <t>R_4Suwt6wdoYpIU4z</t>
  </si>
  <si>
    <t>AIINS-01</t>
  </si>
  <si>
    <t>Group Average</t>
  </si>
  <si>
    <t>R_8VEgqqZDxeb59gz</t>
  </si>
  <si>
    <t>CERTH-ITI</t>
  </si>
  <si>
    <t>R_2nGms8v6ZkNKy89</t>
  </si>
  <si>
    <t>R_4j8JKJ7Qv9Manst</t>
  </si>
  <si>
    <t>FAST-DS</t>
  </si>
  <si>
    <t>R_2SQBoP0rRIQcD7z</t>
  </si>
  <si>
    <t>R_4995DgLwf0XKbXr</t>
  </si>
  <si>
    <t>FAST-MS</t>
  </si>
  <si>
    <t>R_9illhJxHEZ3XlRQ</t>
  </si>
  <si>
    <t>R_9xnuthjBLdkFRtv</t>
  </si>
  <si>
    <t>R_4kdO3nZyoOo981n</t>
  </si>
  <si>
    <t>TEAM_A++</t>
  </si>
  <si>
    <t>R_8RQVV3LtKoeEPHr</t>
  </si>
  <si>
    <t>UAmsterdam</t>
  </si>
  <si>
    <t>R_8G1e42q7qGv7L9L</t>
  </si>
  <si>
    <t>R_8jnkOcyb2cvP2ff</t>
  </si>
  <si>
    <t>Organizer</t>
  </si>
  <si>
    <t>R_8EyH3JELbo39mtF</t>
  </si>
  <si>
    <t>R_8CdXLgKA8GuJh7T</t>
  </si>
  <si>
    <t>R_8LeiUag2BjRT0zN</t>
  </si>
  <si>
    <t>R_84vLE674lbAX5jk</t>
  </si>
  <si>
    <t>Participants Average</t>
  </si>
  <si>
    <t>Participants Average (no self-ratings)</t>
  </si>
  <si>
    <t>R_1pAuse4PFOQ9Vuo</t>
  </si>
  <si>
    <t>Prolific</t>
  </si>
  <si>
    <t>R_1P82DTONQV4tkXY</t>
  </si>
  <si>
    <t>R_4I9Sdz2gmFqjW4B</t>
  </si>
  <si>
    <t>R_20wOEgXsSBSc48h</t>
  </si>
  <si>
    <t>R_293wRDTz6OITLxf</t>
  </si>
  <si>
    <t>R_8RpGgT7osB9tgOJ</t>
  </si>
  <si>
    <t>R_1ysitDdhUr3dg9U</t>
  </si>
  <si>
    <t>R_7wbl5VpL477Cl9L</t>
  </si>
  <si>
    <t>R_2eQPODTLreol2j8</t>
  </si>
  <si>
    <t>R_8ku04WCWtJCbPKn</t>
  </si>
  <si>
    <t>R_1DptFHvGF64eOPZ</t>
  </si>
  <si>
    <t>R_8FOMor75YeH5ahG</t>
  </si>
  <si>
    <t>R_1ir3rKkbtLavyiG</t>
  </si>
  <si>
    <t>R_2qxWVzgzRPAocoO</t>
  </si>
  <si>
    <t>R_2hSbKDOMTeav58s</t>
  </si>
  <si>
    <t>R_1mx81odEHaUTI7L</t>
  </si>
  <si>
    <t>R_1FteBv2JgtjFiup</t>
  </si>
  <si>
    <t>R_7QyL1bQQpT8kM36</t>
  </si>
  <si>
    <t>R_80pMUNmFTGDH2hv</t>
  </si>
  <si>
    <t>R_8COYZlyw1Zc6tga</t>
  </si>
  <si>
    <t>R_2PMMM4OvmxK1tpX</t>
  </si>
  <si>
    <t>R_2lRXOt7KAAiR4Dn</t>
  </si>
  <si>
    <t>R_2nC54gOEOllLBSC</t>
  </si>
  <si>
    <t>R_2wghpjb4uKQiOWF</t>
  </si>
  <si>
    <t>R_4Lb0R6ObURnDN73</t>
  </si>
  <si>
    <t>R_1zBcHPL4dbymyHz</t>
  </si>
  <si>
    <t>R_4MFH9wQFDky9jTm</t>
  </si>
  <si>
    <t>R_4N8QBNDEov2lpn3</t>
  </si>
  <si>
    <t>R_2v6odldei2iKmWp</t>
  </si>
  <si>
    <t>R_3y9LtfAT7tMWuln</t>
  </si>
  <si>
    <t>Overall Average (with Prolific as group)</t>
  </si>
  <si>
    <t>Overall Average (with Prolific as individuals)</t>
  </si>
  <si>
    <t>FINAL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</si>
</sst>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AFB4-289F-421F-9462-BA1E5F1420C3}">
  <dimension ref="A1:HE81"/>
  <sheetViews>
    <sheetView tabSelected="1" workbookViewId="0">
      <pane xSplit="2" ySplit="4" topLeftCell="C5" activePane="bottomRight" state="frozen"/>
      <selection pane="topRight" activeCell="P1" sqref="P1"/>
      <selection pane="bottomLeft" activeCell="A22" sqref="A22"/>
      <selection pane="bottomRight"/>
    </sheetView>
  </sheetViews>
  <sheetFormatPr defaultRowHeight="15" x14ac:dyDescent="0.25"/>
  <cols>
    <col min="5" max="213" width="9.5703125" customWidth="1"/>
  </cols>
  <sheetData>
    <row r="1" spans="1:213" x14ac:dyDescent="0.25">
      <c r="A1" t="s">
        <v>0</v>
      </c>
      <c r="E1" t="s">
        <v>1</v>
      </c>
      <c r="F1" t="s">
        <v>1</v>
      </c>
      <c r="G1" t="s">
        <v>1</v>
      </c>
      <c r="H1" t="s">
        <v>1</v>
      </c>
      <c r="I1" t="s">
        <v>2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Q1" t="s">
        <v>1</v>
      </c>
      <c r="R1" t="s">
        <v>1</v>
      </c>
      <c r="S1" t="s">
        <v>1</v>
      </c>
      <c r="T1" t="s">
        <v>1</v>
      </c>
      <c r="U1" t="s">
        <v>2</v>
      </c>
      <c r="W1" t="s">
        <v>1</v>
      </c>
      <c r="X1" t="s">
        <v>1</v>
      </c>
      <c r="Y1" t="s">
        <v>1</v>
      </c>
      <c r="Z1" t="s">
        <v>1</v>
      </c>
      <c r="AA1" t="s">
        <v>2</v>
      </c>
      <c r="AC1" t="s">
        <v>1</v>
      </c>
      <c r="AD1" t="s">
        <v>1</v>
      </c>
      <c r="AE1" t="s">
        <v>1</v>
      </c>
      <c r="AF1" t="s">
        <v>1</v>
      </c>
      <c r="AG1" t="s">
        <v>2</v>
      </c>
      <c r="AI1" t="s">
        <v>1</v>
      </c>
      <c r="AJ1" t="s">
        <v>1</v>
      </c>
      <c r="AK1" t="s">
        <v>1</v>
      </c>
      <c r="AL1" t="s">
        <v>1</v>
      </c>
      <c r="AM1" t="s">
        <v>2</v>
      </c>
      <c r="AO1" t="s">
        <v>1</v>
      </c>
      <c r="AP1" t="s">
        <v>1</v>
      </c>
      <c r="AQ1" t="s">
        <v>1</v>
      </c>
      <c r="AR1" t="s">
        <v>1</v>
      </c>
      <c r="AS1" t="s">
        <v>2</v>
      </c>
      <c r="AU1" t="s">
        <v>1</v>
      </c>
      <c r="AV1" t="s">
        <v>1</v>
      </c>
      <c r="AW1" t="s">
        <v>1</v>
      </c>
      <c r="AX1" t="s">
        <v>1</v>
      </c>
      <c r="AY1" t="s">
        <v>2</v>
      </c>
      <c r="BA1" t="s">
        <v>1</v>
      </c>
      <c r="BB1" t="s">
        <v>1</v>
      </c>
      <c r="BC1" t="s">
        <v>1</v>
      </c>
      <c r="BD1" t="s">
        <v>1</v>
      </c>
      <c r="BE1" t="s">
        <v>2</v>
      </c>
      <c r="BG1" t="s">
        <v>1</v>
      </c>
      <c r="BH1" t="s">
        <v>1</v>
      </c>
      <c r="BI1" t="s">
        <v>1</v>
      </c>
      <c r="BJ1" t="s">
        <v>1</v>
      </c>
      <c r="BK1" t="s">
        <v>2</v>
      </c>
      <c r="BM1" t="s">
        <v>1</v>
      </c>
      <c r="BN1" t="s">
        <v>1</v>
      </c>
      <c r="BO1" t="s">
        <v>1</v>
      </c>
      <c r="BP1" t="s">
        <v>1</v>
      </c>
      <c r="BQ1" t="s">
        <v>2</v>
      </c>
      <c r="BS1" t="s">
        <v>1</v>
      </c>
      <c r="BT1" t="s">
        <v>1</v>
      </c>
      <c r="BU1" t="s">
        <v>1</v>
      </c>
      <c r="BV1" t="s">
        <v>1</v>
      </c>
      <c r="BW1" t="s">
        <v>2</v>
      </c>
      <c r="BY1" t="s">
        <v>1</v>
      </c>
      <c r="BZ1" t="s">
        <v>1</v>
      </c>
      <c r="CA1" t="s">
        <v>1</v>
      </c>
      <c r="CB1" t="s">
        <v>1</v>
      </c>
      <c r="CC1" t="s">
        <v>2</v>
      </c>
      <c r="CE1" t="s">
        <v>1</v>
      </c>
      <c r="CF1" t="s">
        <v>1</v>
      </c>
      <c r="CG1" t="s">
        <v>1</v>
      </c>
      <c r="CH1" t="s">
        <v>1</v>
      </c>
      <c r="CI1" t="s">
        <v>2</v>
      </c>
      <c r="CK1" t="s">
        <v>1</v>
      </c>
      <c r="CL1" t="s">
        <v>1</v>
      </c>
      <c r="CM1" t="s">
        <v>1</v>
      </c>
      <c r="CN1" t="s">
        <v>1</v>
      </c>
      <c r="CO1" t="s">
        <v>2</v>
      </c>
      <c r="CQ1" t="s">
        <v>1</v>
      </c>
      <c r="CR1" t="s">
        <v>1</v>
      </c>
      <c r="CS1" t="s">
        <v>1</v>
      </c>
      <c r="CT1" t="s">
        <v>1</v>
      </c>
      <c r="CU1" t="s">
        <v>2</v>
      </c>
      <c r="CW1" t="s">
        <v>1</v>
      </c>
      <c r="CX1" t="s">
        <v>1</v>
      </c>
      <c r="CY1" t="s">
        <v>1</v>
      </c>
      <c r="CZ1" t="s">
        <v>1</v>
      </c>
      <c r="DA1" t="s">
        <v>2</v>
      </c>
      <c r="DC1" t="s">
        <v>1</v>
      </c>
      <c r="DD1" t="s">
        <v>1</v>
      </c>
      <c r="DE1" t="s">
        <v>1</v>
      </c>
      <c r="DF1" t="s">
        <v>1</v>
      </c>
      <c r="DG1" t="s">
        <v>2</v>
      </c>
      <c r="DI1" t="s">
        <v>1</v>
      </c>
      <c r="DJ1" t="s">
        <v>1</v>
      </c>
      <c r="DK1" t="s">
        <v>1</v>
      </c>
      <c r="DL1" t="s">
        <v>1</v>
      </c>
      <c r="DM1" t="s">
        <v>2</v>
      </c>
      <c r="DO1" t="s">
        <v>1</v>
      </c>
      <c r="DP1" t="s">
        <v>1</v>
      </c>
      <c r="DQ1" t="s">
        <v>1</v>
      </c>
      <c r="DR1" t="s">
        <v>1</v>
      </c>
      <c r="DS1" t="s">
        <v>2</v>
      </c>
      <c r="DU1" t="s">
        <v>1</v>
      </c>
      <c r="DV1" t="s">
        <v>1</v>
      </c>
      <c r="DW1" t="s">
        <v>1</v>
      </c>
      <c r="DX1" t="s">
        <v>1</v>
      </c>
      <c r="DY1" t="s">
        <v>2</v>
      </c>
      <c r="EA1" t="s">
        <v>1</v>
      </c>
      <c r="EB1" t="s">
        <v>1</v>
      </c>
      <c r="EC1" t="s">
        <v>1</v>
      </c>
      <c r="ED1" t="s">
        <v>1</v>
      </c>
      <c r="EE1" t="s">
        <v>2</v>
      </c>
      <c r="EG1" t="s">
        <v>1</v>
      </c>
      <c r="EH1" t="s">
        <v>1</v>
      </c>
      <c r="EI1" t="s">
        <v>1</v>
      </c>
      <c r="EJ1" t="s">
        <v>1</v>
      </c>
      <c r="EK1" t="s">
        <v>2</v>
      </c>
      <c r="EM1" t="s">
        <v>1</v>
      </c>
      <c r="EN1" t="s">
        <v>1</v>
      </c>
      <c r="EO1" t="s">
        <v>1</v>
      </c>
      <c r="EP1" t="s">
        <v>1</v>
      </c>
      <c r="EQ1" t="s">
        <v>2</v>
      </c>
      <c r="ES1" t="s">
        <v>1</v>
      </c>
      <c r="ET1" t="s">
        <v>1</v>
      </c>
      <c r="EU1" t="s">
        <v>1</v>
      </c>
      <c r="EV1" t="s">
        <v>1</v>
      </c>
      <c r="EW1" t="s">
        <v>2</v>
      </c>
      <c r="EY1" t="s">
        <v>1</v>
      </c>
      <c r="EZ1" t="s">
        <v>1</v>
      </c>
      <c r="FA1" t="s">
        <v>1</v>
      </c>
      <c r="FB1" t="s">
        <v>1</v>
      </c>
      <c r="FC1" t="s">
        <v>2</v>
      </c>
      <c r="FE1" t="s">
        <v>1</v>
      </c>
      <c r="FF1" t="s">
        <v>1</v>
      </c>
      <c r="FG1" t="s">
        <v>1</v>
      </c>
      <c r="FH1" t="s">
        <v>1</v>
      </c>
      <c r="FI1" t="s">
        <v>2</v>
      </c>
      <c r="FK1" t="s">
        <v>1</v>
      </c>
      <c r="FL1" t="s">
        <v>1</v>
      </c>
      <c r="FM1" t="s">
        <v>1</v>
      </c>
      <c r="FN1" t="s">
        <v>1</v>
      </c>
      <c r="FO1" t="s">
        <v>2</v>
      </c>
      <c r="FQ1" t="s">
        <v>1</v>
      </c>
      <c r="FR1" t="s">
        <v>1</v>
      </c>
      <c r="FS1" t="s">
        <v>1</v>
      </c>
      <c r="FT1" t="s">
        <v>1</v>
      </c>
      <c r="FU1" t="s">
        <v>2</v>
      </c>
      <c r="FW1" t="s">
        <v>1</v>
      </c>
      <c r="FX1" t="s">
        <v>1</v>
      </c>
      <c r="FY1" t="s">
        <v>1</v>
      </c>
      <c r="FZ1" t="s">
        <v>1</v>
      </c>
      <c r="GA1" t="s">
        <v>2</v>
      </c>
      <c r="GC1" t="s">
        <v>1</v>
      </c>
      <c r="GD1" t="s">
        <v>1</v>
      </c>
      <c r="GE1" t="s">
        <v>1</v>
      </c>
      <c r="GF1" t="s">
        <v>1</v>
      </c>
      <c r="GG1" t="s">
        <v>2</v>
      </c>
      <c r="GI1" t="s">
        <v>1</v>
      </c>
      <c r="GJ1" t="s">
        <v>1</v>
      </c>
      <c r="GK1" t="s">
        <v>1</v>
      </c>
      <c r="GL1" t="s">
        <v>1</v>
      </c>
      <c r="GM1" t="s">
        <v>2</v>
      </c>
      <c r="GO1" t="s">
        <v>1</v>
      </c>
      <c r="GP1" t="s">
        <v>1</v>
      </c>
      <c r="GQ1" t="s">
        <v>1</v>
      </c>
      <c r="GR1" t="s">
        <v>1</v>
      </c>
      <c r="GS1" t="s">
        <v>2</v>
      </c>
      <c r="GU1" t="s">
        <v>1</v>
      </c>
      <c r="GV1" t="s">
        <v>1</v>
      </c>
      <c r="GW1" t="s">
        <v>1</v>
      </c>
      <c r="GX1" t="s">
        <v>1</v>
      </c>
      <c r="GY1" t="s">
        <v>2</v>
      </c>
      <c r="HA1" t="s">
        <v>1</v>
      </c>
      <c r="HB1" t="s">
        <v>1</v>
      </c>
      <c r="HC1" t="s">
        <v>1</v>
      </c>
      <c r="HD1" t="s">
        <v>1</v>
      </c>
      <c r="HE1" t="s">
        <v>2</v>
      </c>
    </row>
    <row r="2" spans="1:213" x14ac:dyDescent="0.25">
      <c r="A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W2" t="s">
        <v>4</v>
      </c>
      <c r="X2" t="s">
        <v>5</v>
      </c>
      <c r="Y2" t="s">
        <v>6</v>
      </c>
      <c r="Z2" t="s">
        <v>7</v>
      </c>
      <c r="AA2" t="s">
        <v>8</v>
      </c>
      <c r="AC2" t="s">
        <v>4</v>
      </c>
      <c r="AD2" t="s">
        <v>5</v>
      </c>
      <c r="AE2" t="s">
        <v>6</v>
      </c>
      <c r="AF2" t="s">
        <v>7</v>
      </c>
      <c r="AG2" t="s">
        <v>8</v>
      </c>
      <c r="AI2" t="s">
        <v>4</v>
      </c>
      <c r="AJ2" t="s">
        <v>5</v>
      </c>
      <c r="AK2" t="s">
        <v>6</v>
      </c>
      <c r="AL2" t="s">
        <v>7</v>
      </c>
      <c r="AM2" t="s">
        <v>8</v>
      </c>
      <c r="AO2" t="s">
        <v>4</v>
      </c>
      <c r="AP2" t="s">
        <v>5</v>
      </c>
      <c r="AQ2" t="s">
        <v>6</v>
      </c>
      <c r="AR2" t="s">
        <v>7</v>
      </c>
      <c r="AS2" t="s">
        <v>8</v>
      </c>
      <c r="AU2" t="s">
        <v>4</v>
      </c>
      <c r="AV2" t="s">
        <v>5</v>
      </c>
      <c r="AW2" t="s">
        <v>6</v>
      </c>
      <c r="AX2" t="s">
        <v>7</v>
      </c>
      <c r="AY2" t="s">
        <v>8</v>
      </c>
      <c r="BA2" t="s">
        <v>4</v>
      </c>
      <c r="BB2" t="s">
        <v>5</v>
      </c>
      <c r="BC2" t="s">
        <v>6</v>
      </c>
      <c r="BD2" t="s">
        <v>7</v>
      </c>
      <c r="BE2" t="s">
        <v>8</v>
      </c>
      <c r="BG2" t="s">
        <v>4</v>
      </c>
      <c r="BH2" t="s">
        <v>5</v>
      </c>
      <c r="BI2" t="s">
        <v>6</v>
      </c>
      <c r="BJ2" t="s">
        <v>7</v>
      </c>
      <c r="BK2" t="s">
        <v>8</v>
      </c>
      <c r="BM2" t="s">
        <v>4</v>
      </c>
      <c r="BN2" t="s">
        <v>5</v>
      </c>
      <c r="BO2" t="s">
        <v>6</v>
      </c>
      <c r="BP2" t="s">
        <v>7</v>
      </c>
      <c r="BQ2" t="s">
        <v>8</v>
      </c>
      <c r="BS2" t="s">
        <v>4</v>
      </c>
      <c r="BT2" t="s">
        <v>5</v>
      </c>
      <c r="BU2" t="s">
        <v>6</v>
      </c>
      <c r="BV2" t="s">
        <v>7</v>
      </c>
      <c r="BW2" t="s">
        <v>8</v>
      </c>
      <c r="BY2" t="s">
        <v>4</v>
      </c>
      <c r="BZ2" t="s">
        <v>5</v>
      </c>
      <c r="CA2" t="s">
        <v>6</v>
      </c>
      <c r="CB2" t="s">
        <v>7</v>
      </c>
      <c r="CC2" t="s">
        <v>8</v>
      </c>
      <c r="CE2" t="s">
        <v>4</v>
      </c>
      <c r="CF2" t="s">
        <v>5</v>
      </c>
      <c r="CG2" t="s">
        <v>6</v>
      </c>
      <c r="CH2" t="s">
        <v>7</v>
      </c>
      <c r="CI2" t="s">
        <v>8</v>
      </c>
      <c r="CK2" t="s">
        <v>4</v>
      </c>
      <c r="CL2" t="s">
        <v>5</v>
      </c>
      <c r="CM2" t="s">
        <v>6</v>
      </c>
      <c r="CN2" t="s">
        <v>7</v>
      </c>
      <c r="CO2" t="s">
        <v>8</v>
      </c>
      <c r="CQ2" t="s">
        <v>4</v>
      </c>
      <c r="CR2" t="s">
        <v>5</v>
      </c>
      <c r="CS2" t="s">
        <v>6</v>
      </c>
      <c r="CT2" t="s">
        <v>7</v>
      </c>
      <c r="CU2" t="s">
        <v>8</v>
      </c>
      <c r="CW2" t="s">
        <v>4</v>
      </c>
      <c r="CX2" t="s">
        <v>5</v>
      </c>
      <c r="CY2" t="s">
        <v>6</v>
      </c>
      <c r="CZ2" t="s">
        <v>7</v>
      </c>
      <c r="DA2" t="s">
        <v>8</v>
      </c>
      <c r="DC2" t="s">
        <v>4</v>
      </c>
      <c r="DD2" t="s">
        <v>5</v>
      </c>
      <c r="DE2" t="s">
        <v>6</v>
      </c>
      <c r="DF2" t="s">
        <v>7</v>
      </c>
      <c r="DG2" t="s">
        <v>8</v>
      </c>
      <c r="DI2" t="s">
        <v>4</v>
      </c>
      <c r="DJ2" t="s">
        <v>5</v>
      </c>
      <c r="DK2" t="s">
        <v>6</v>
      </c>
      <c r="DL2" t="s">
        <v>7</v>
      </c>
      <c r="DM2" t="s">
        <v>8</v>
      </c>
      <c r="DO2" t="s">
        <v>4</v>
      </c>
      <c r="DP2" t="s">
        <v>5</v>
      </c>
      <c r="DQ2" t="s">
        <v>6</v>
      </c>
      <c r="DR2" t="s">
        <v>7</v>
      </c>
      <c r="DS2" t="s">
        <v>8</v>
      </c>
      <c r="DU2" t="s">
        <v>4</v>
      </c>
      <c r="DV2" t="s">
        <v>5</v>
      </c>
      <c r="DW2" t="s">
        <v>6</v>
      </c>
      <c r="DX2" t="s">
        <v>7</v>
      </c>
      <c r="DY2" t="s">
        <v>8</v>
      </c>
      <c r="EA2" t="s">
        <v>4</v>
      </c>
      <c r="EB2" t="s">
        <v>5</v>
      </c>
      <c r="EC2" t="s">
        <v>6</v>
      </c>
      <c r="ED2" t="s">
        <v>7</v>
      </c>
      <c r="EE2" t="s">
        <v>8</v>
      </c>
      <c r="EG2" t="s">
        <v>4</v>
      </c>
      <c r="EH2" t="s">
        <v>5</v>
      </c>
      <c r="EI2" t="s">
        <v>6</v>
      </c>
      <c r="EJ2" t="s">
        <v>7</v>
      </c>
      <c r="EK2" t="s">
        <v>8</v>
      </c>
      <c r="EM2" t="s">
        <v>4</v>
      </c>
      <c r="EN2" t="s">
        <v>5</v>
      </c>
      <c r="EO2" t="s">
        <v>6</v>
      </c>
      <c r="EP2" t="s">
        <v>7</v>
      </c>
      <c r="EQ2" t="s">
        <v>8</v>
      </c>
      <c r="ES2" t="s">
        <v>4</v>
      </c>
      <c r="ET2" t="s">
        <v>5</v>
      </c>
      <c r="EU2" t="s">
        <v>6</v>
      </c>
      <c r="EV2" t="s">
        <v>7</v>
      </c>
      <c r="EW2" t="s">
        <v>8</v>
      </c>
      <c r="EY2" t="s">
        <v>4</v>
      </c>
      <c r="EZ2" t="s">
        <v>5</v>
      </c>
      <c r="FA2" t="s">
        <v>6</v>
      </c>
      <c r="FB2" t="s">
        <v>7</v>
      </c>
      <c r="FC2" t="s">
        <v>8</v>
      </c>
      <c r="FE2" t="s">
        <v>4</v>
      </c>
      <c r="FF2" t="s">
        <v>5</v>
      </c>
      <c r="FG2" t="s">
        <v>6</v>
      </c>
      <c r="FH2" t="s">
        <v>7</v>
      </c>
      <c r="FI2" t="s">
        <v>8</v>
      </c>
      <c r="FK2" t="s">
        <v>4</v>
      </c>
      <c r="FL2" t="s">
        <v>5</v>
      </c>
      <c r="FM2" t="s">
        <v>6</v>
      </c>
      <c r="FN2" t="s">
        <v>7</v>
      </c>
      <c r="FO2" t="s">
        <v>8</v>
      </c>
      <c r="FQ2" t="s">
        <v>4</v>
      </c>
      <c r="FR2" t="s">
        <v>5</v>
      </c>
      <c r="FS2" t="s">
        <v>6</v>
      </c>
      <c r="FT2" t="s">
        <v>7</v>
      </c>
      <c r="FU2" t="s">
        <v>8</v>
      </c>
      <c r="FW2" t="s">
        <v>4</v>
      </c>
      <c r="FX2" t="s">
        <v>5</v>
      </c>
      <c r="FY2" t="s">
        <v>6</v>
      </c>
      <c r="FZ2" t="s">
        <v>7</v>
      </c>
      <c r="GA2" t="s">
        <v>8</v>
      </c>
      <c r="GC2" t="s">
        <v>4</v>
      </c>
      <c r="GD2" t="s">
        <v>5</v>
      </c>
      <c r="GE2" t="s">
        <v>6</v>
      </c>
      <c r="GF2" t="s">
        <v>7</v>
      </c>
      <c r="GG2" t="s">
        <v>8</v>
      </c>
      <c r="GI2" t="s">
        <v>4</v>
      </c>
      <c r="GJ2" t="s">
        <v>5</v>
      </c>
      <c r="GK2" t="s">
        <v>6</v>
      </c>
      <c r="GL2" t="s">
        <v>7</v>
      </c>
      <c r="GM2" t="s">
        <v>8</v>
      </c>
      <c r="GO2" t="s">
        <v>4</v>
      </c>
      <c r="GP2" t="s">
        <v>5</v>
      </c>
      <c r="GQ2" t="s">
        <v>6</v>
      </c>
      <c r="GR2" t="s">
        <v>7</v>
      </c>
      <c r="GS2" t="s">
        <v>8</v>
      </c>
      <c r="GU2" t="s">
        <v>4</v>
      </c>
      <c r="GV2" t="s">
        <v>5</v>
      </c>
      <c r="GW2" t="s">
        <v>6</v>
      </c>
      <c r="GX2" t="s">
        <v>7</v>
      </c>
      <c r="GY2" t="s">
        <v>8</v>
      </c>
      <c r="HA2" t="s">
        <v>4</v>
      </c>
      <c r="HB2" t="s">
        <v>5</v>
      </c>
      <c r="HC2" t="s">
        <v>6</v>
      </c>
      <c r="HD2" t="s">
        <v>7</v>
      </c>
      <c r="HE2" t="s">
        <v>8</v>
      </c>
    </row>
    <row r="4" spans="1:213" x14ac:dyDescent="0.25">
      <c r="A4" t="s">
        <v>9</v>
      </c>
      <c r="B4" t="s">
        <v>10</v>
      </c>
      <c r="C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W4" t="s">
        <v>27</v>
      </c>
      <c r="X4" t="s">
        <v>28</v>
      </c>
      <c r="Y4" t="s">
        <v>29</v>
      </c>
      <c r="Z4" t="s">
        <v>30</v>
      </c>
      <c r="AA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U4" t="s">
        <v>47</v>
      </c>
      <c r="AV4" t="s">
        <v>48</v>
      </c>
      <c r="AW4" t="s">
        <v>49</v>
      </c>
      <c r="AX4" t="s">
        <v>50</v>
      </c>
      <c r="AY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G4" t="s">
        <v>57</v>
      </c>
      <c r="BH4" t="s">
        <v>58</v>
      </c>
      <c r="BI4" t="s">
        <v>59</v>
      </c>
      <c r="BJ4" t="s">
        <v>60</v>
      </c>
      <c r="BK4" t="s">
        <v>61</v>
      </c>
      <c r="BM4" t="s">
        <v>62</v>
      </c>
      <c r="BN4" t="s">
        <v>63</v>
      </c>
      <c r="BO4" t="s">
        <v>64</v>
      </c>
      <c r="BP4" t="s">
        <v>65</v>
      </c>
      <c r="BQ4" t="s">
        <v>66</v>
      </c>
      <c r="BS4" t="s">
        <v>67</v>
      </c>
      <c r="BT4" t="s">
        <v>68</v>
      </c>
      <c r="BU4" t="s">
        <v>69</v>
      </c>
      <c r="BV4" t="s">
        <v>70</v>
      </c>
      <c r="BW4" t="s">
        <v>71</v>
      </c>
      <c r="BY4" t="s">
        <v>72</v>
      </c>
      <c r="BZ4" t="s">
        <v>73</v>
      </c>
      <c r="CA4" t="s">
        <v>74</v>
      </c>
      <c r="CB4" t="s">
        <v>75</v>
      </c>
      <c r="CC4" t="s">
        <v>76</v>
      </c>
      <c r="CE4" t="s">
        <v>72</v>
      </c>
      <c r="CF4" t="s">
        <v>73</v>
      </c>
      <c r="CG4" t="s">
        <v>74</v>
      </c>
      <c r="CH4" t="s">
        <v>75</v>
      </c>
      <c r="CI4" t="s">
        <v>76</v>
      </c>
      <c r="CK4" t="s">
        <v>77</v>
      </c>
      <c r="CL4" t="s">
        <v>78</v>
      </c>
      <c r="CM4" t="s">
        <v>79</v>
      </c>
      <c r="CN4" t="s">
        <v>80</v>
      </c>
      <c r="CO4" t="s">
        <v>81</v>
      </c>
      <c r="CQ4" t="s">
        <v>82</v>
      </c>
      <c r="CR4" t="s">
        <v>83</v>
      </c>
      <c r="CS4" t="s">
        <v>84</v>
      </c>
      <c r="CT4" t="s">
        <v>85</v>
      </c>
      <c r="CU4" t="s">
        <v>86</v>
      </c>
      <c r="CW4" t="s">
        <v>87</v>
      </c>
      <c r="CX4" t="s">
        <v>88</v>
      </c>
      <c r="CY4" t="s">
        <v>89</v>
      </c>
      <c r="CZ4" t="s">
        <v>90</v>
      </c>
      <c r="DA4" t="s">
        <v>91</v>
      </c>
      <c r="DC4" t="s">
        <v>92</v>
      </c>
      <c r="DD4" t="s">
        <v>93</v>
      </c>
      <c r="DE4" t="s">
        <v>94</v>
      </c>
      <c r="DF4" t="s">
        <v>95</v>
      </c>
      <c r="DG4" t="s">
        <v>96</v>
      </c>
      <c r="DI4" t="s">
        <v>97</v>
      </c>
      <c r="DJ4" t="s">
        <v>98</v>
      </c>
      <c r="DK4" t="s">
        <v>99</v>
      </c>
      <c r="DL4" t="s">
        <v>100</v>
      </c>
      <c r="DM4" t="s">
        <v>101</v>
      </c>
      <c r="DO4" t="s">
        <v>102</v>
      </c>
      <c r="DP4" t="s">
        <v>103</v>
      </c>
      <c r="DQ4" t="s">
        <v>104</v>
      </c>
      <c r="DR4" t="s">
        <v>105</v>
      </c>
      <c r="DS4" t="s">
        <v>106</v>
      </c>
      <c r="DU4" t="s">
        <v>107</v>
      </c>
      <c r="DV4" t="s">
        <v>108</v>
      </c>
      <c r="DW4" t="s">
        <v>109</v>
      </c>
      <c r="DX4" t="s">
        <v>110</v>
      </c>
      <c r="DY4" t="s">
        <v>111</v>
      </c>
      <c r="EA4" t="s">
        <v>112</v>
      </c>
      <c r="EB4" t="s">
        <v>113</v>
      </c>
      <c r="EC4" t="s">
        <v>114</v>
      </c>
      <c r="ED4" t="s">
        <v>115</v>
      </c>
      <c r="EE4" t="s">
        <v>116</v>
      </c>
      <c r="EG4" t="s">
        <v>117</v>
      </c>
      <c r="EH4" t="s">
        <v>118</v>
      </c>
      <c r="EI4" t="s">
        <v>119</v>
      </c>
      <c r="EJ4" t="s">
        <v>120</v>
      </c>
      <c r="EK4" t="s">
        <v>121</v>
      </c>
      <c r="EM4" t="s">
        <v>122</v>
      </c>
      <c r="EN4" t="s">
        <v>123</v>
      </c>
      <c r="EO4" t="s">
        <v>124</v>
      </c>
      <c r="EP4" t="s">
        <v>125</v>
      </c>
      <c r="EQ4" t="s">
        <v>126</v>
      </c>
      <c r="ES4" t="s">
        <v>127</v>
      </c>
      <c r="ET4" t="s">
        <v>128</v>
      </c>
      <c r="EU4" t="s">
        <v>129</v>
      </c>
      <c r="EV4" t="s">
        <v>130</v>
      </c>
      <c r="EW4" t="s">
        <v>131</v>
      </c>
      <c r="EY4" t="s">
        <v>132</v>
      </c>
      <c r="EZ4" t="s">
        <v>133</v>
      </c>
      <c r="FA4" t="s">
        <v>134</v>
      </c>
      <c r="FB4" t="s">
        <v>135</v>
      </c>
      <c r="FC4" t="s">
        <v>136</v>
      </c>
      <c r="FE4" t="s">
        <v>137</v>
      </c>
      <c r="FF4" t="s">
        <v>138</v>
      </c>
      <c r="FG4" t="s">
        <v>139</v>
      </c>
      <c r="FH4" t="s">
        <v>140</v>
      </c>
      <c r="FI4" t="s">
        <v>141</v>
      </c>
      <c r="FK4" t="s">
        <v>142</v>
      </c>
      <c r="FL4" t="s">
        <v>143</v>
      </c>
      <c r="FM4" t="s">
        <v>144</v>
      </c>
      <c r="FN4" t="s">
        <v>145</v>
      </c>
      <c r="FO4" t="s">
        <v>146</v>
      </c>
      <c r="FQ4" t="s">
        <v>147</v>
      </c>
      <c r="FR4" t="s">
        <v>148</v>
      </c>
      <c r="FS4" t="s">
        <v>149</v>
      </c>
      <c r="FT4" t="s">
        <v>150</v>
      </c>
      <c r="FU4" t="s">
        <v>151</v>
      </c>
      <c r="FW4" t="s">
        <v>152</v>
      </c>
      <c r="FX4" t="s">
        <v>153</v>
      </c>
      <c r="FY4" t="s">
        <v>154</v>
      </c>
      <c r="FZ4" t="s">
        <v>155</v>
      </c>
      <c r="GA4" t="s">
        <v>156</v>
      </c>
      <c r="GC4" t="s">
        <v>157</v>
      </c>
      <c r="GD4" t="s">
        <v>158</v>
      </c>
      <c r="GE4" t="s">
        <v>159</v>
      </c>
      <c r="GF4" t="s">
        <v>160</v>
      </c>
      <c r="GG4" t="s">
        <v>161</v>
      </c>
      <c r="GI4" t="s">
        <v>162</v>
      </c>
      <c r="GJ4" t="s">
        <v>163</v>
      </c>
      <c r="GK4" t="s">
        <v>164</v>
      </c>
      <c r="GL4" t="s">
        <v>165</v>
      </c>
      <c r="GM4" t="s">
        <v>166</v>
      </c>
      <c r="GO4" t="s">
        <v>167</v>
      </c>
      <c r="GP4" t="s">
        <v>168</v>
      </c>
      <c r="GQ4" t="s">
        <v>169</v>
      </c>
      <c r="GR4" t="s">
        <v>170</v>
      </c>
      <c r="GS4" t="s">
        <v>171</v>
      </c>
      <c r="GU4" t="s">
        <v>172</v>
      </c>
      <c r="GV4" t="s">
        <v>173</v>
      </c>
      <c r="GW4" t="s">
        <v>174</v>
      </c>
      <c r="GX4" t="s">
        <v>175</v>
      </c>
      <c r="GY4" t="s">
        <v>176</v>
      </c>
      <c r="HA4" t="s">
        <v>177</v>
      </c>
      <c r="HB4" t="s">
        <v>178</v>
      </c>
      <c r="HC4" t="s">
        <v>179</v>
      </c>
      <c r="HD4" t="s">
        <v>180</v>
      </c>
      <c r="HE4" t="s">
        <v>181</v>
      </c>
    </row>
    <row r="6" spans="1:213" x14ac:dyDescent="0.25">
      <c r="A6" t="s">
        <v>182</v>
      </c>
      <c r="B6" t="s">
        <v>183</v>
      </c>
      <c r="C6">
        <v>5694</v>
      </c>
      <c r="E6" s="1">
        <v>3</v>
      </c>
      <c r="F6" s="1">
        <v>1</v>
      </c>
      <c r="G6" s="1">
        <v>1</v>
      </c>
      <c r="H6" s="1">
        <v>4</v>
      </c>
      <c r="I6" s="1">
        <v>1</v>
      </c>
      <c r="J6" s="1"/>
      <c r="K6" s="1">
        <v>4</v>
      </c>
      <c r="L6" s="1">
        <v>4</v>
      </c>
      <c r="M6" s="1">
        <v>4</v>
      </c>
      <c r="N6" s="1">
        <v>4</v>
      </c>
      <c r="O6" s="1">
        <v>1</v>
      </c>
      <c r="P6" s="1"/>
      <c r="Q6" s="1">
        <v>4</v>
      </c>
      <c r="R6" s="1">
        <v>4</v>
      </c>
      <c r="S6" s="1">
        <v>2</v>
      </c>
      <c r="T6" s="1">
        <v>2</v>
      </c>
      <c r="U6" s="1">
        <v>5</v>
      </c>
      <c r="V6" s="1"/>
      <c r="W6" s="1">
        <v>5</v>
      </c>
      <c r="X6" s="1">
        <v>5</v>
      </c>
      <c r="Y6" s="1">
        <v>5</v>
      </c>
      <c r="Z6" s="1">
        <v>3</v>
      </c>
      <c r="AA6" s="1">
        <v>5</v>
      </c>
      <c r="AB6" s="1"/>
      <c r="AC6" s="1">
        <v>2</v>
      </c>
      <c r="AD6" s="1">
        <v>3</v>
      </c>
      <c r="AE6" s="1">
        <v>3</v>
      </c>
      <c r="AF6" s="1">
        <v>1</v>
      </c>
      <c r="AG6" s="1">
        <v>3</v>
      </c>
      <c r="AH6" s="1"/>
      <c r="AI6" s="1">
        <v>1</v>
      </c>
      <c r="AJ6" s="1">
        <v>1</v>
      </c>
      <c r="AK6" s="1">
        <v>4</v>
      </c>
      <c r="AL6" s="1">
        <v>4</v>
      </c>
      <c r="AM6" s="1">
        <v>5</v>
      </c>
      <c r="AN6" s="1"/>
      <c r="AO6" s="1">
        <v>3</v>
      </c>
      <c r="AP6" s="1">
        <v>4</v>
      </c>
      <c r="AQ6" s="1">
        <v>3</v>
      </c>
      <c r="AR6" s="1">
        <v>4</v>
      </c>
      <c r="AS6" s="1">
        <v>1</v>
      </c>
      <c r="AT6" s="1"/>
      <c r="AU6" s="1">
        <v>2</v>
      </c>
      <c r="AV6" s="1">
        <v>3</v>
      </c>
      <c r="AW6" s="1">
        <v>3</v>
      </c>
      <c r="AX6" s="1">
        <v>1</v>
      </c>
      <c r="AY6" s="1">
        <v>1</v>
      </c>
      <c r="AZ6" s="1"/>
      <c r="BA6" s="1">
        <v>4</v>
      </c>
      <c r="BB6" s="1">
        <v>4</v>
      </c>
      <c r="BC6" s="1">
        <v>5</v>
      </c>
      <c r="BD6" s="1">
        <v>5</v>
      </c>
      <c r="BE6" s="1">
        <v>5</v>
      </c>
      <c r="BF6" s="1"/>
      <c r="BG6" s="1">
        <v>3</v>
      </c>
      <c r="BH6" s="1">
        <v>3</v>
      </c>
      <c r="BI6" s="1">
        <v>1</v>
      </c>
      <c r="BJ6" s="1">
        <v>3</v>
      </c>
      <c r="BK6" s="1">
        <v>3</v>
      </c>
      <c r="BL6" s="1"/>
      <c r="BM6" s="1">
        <v>5</v>
      </c>
      <c r="BN6" s="1">
        <v>2</v>
      </c>
      <c r="BO6" s="1">
        <v>3</v>
      </c>
      <c r="BP6" s="1">
        <v>1</v>
      </c>
      <c r="BQ6" s="1">
        <v>3</v>
      </c>
      <c r="BR6" s="1"/>
      <c r="BS6" s="1">
        <v>4</v>
      </c>
      <c r="BT6" s="1">
        <v>4</v>
      </c>
      <c r="BU6" s="1">
        <v>3</v>
      </c>
      <c r="BV6" s="1">
        <v>4</v>
      </c>
      <c r="BW6" s="1">
        <v>3</v>
      </c>
      <c r="BX6" s="1"/>
      <c r="BY6" s="1">
        <v>4</v>
      </c>
      <c r="BZ6" s="1">
        <v>4</v>
      </c>
      <c r="CA6" s="1">
        <v>4</v>
      </c>
      <c r="CB6" s="1">
        <v>5</v>
      </c>
      <c r="CC6" s="1">
        <v>2</v>
      </c>
      <c r="CD6" s="1"/>
      <c r="CE6" s="1">
        <v>2</v>
      </c>
      <c r="CF6" s="1">
        <v>1</v>
      </c>
      <c r="CG6" s="1">
        <v>5</v>
      </c>
      <c r="CH6" s="1">
        <v>2</v>
      </c>
      <c r="CI6" s="1">
        <v>5</v>
      </c>
      <c r="CJ6" s="1"/>
      <c r="CK6" s="1">
        <v>5</v>
      </c>
      <c r="CL6" s="1">
        <v>4</v>
      </c>
      <c r="CM6" s="1">
        <v>3</v>
      </c>
      <c r="CN6" s="1">
        <v>3</v>
      </c>
      <c r="CO6" s="1">
        <v>5</v>
      </c>
      <c r="CP6" s="1"/>
      <c r="CQ6" s="1">
        <v>4</v>
      </c>
      <c r="CR6" s="1">
        <v>5</v>
      </c>
      <c r="CS6" s="1">
        <v>1</v>
      </c>
      <c r="CT6" s="1">
        <v>4</v>
      </c>
      <c r="CU6" s="1">
        <v>1</v>
      </c>
      <c r="CV6" s="1"/>
      <c r="CW6" s="1">
        <v>5</v>
      </c>
      <c r="CX6" s="1">
        <v>1</v>
      </c>
      <c r="CY6" s="1">
        <v>2</v>
      </c>
      <c r="CZ6" s="1">
        <v>3</v>
      </c>
      <c r="DA6" s="1">
        <v>5</v>
      </c>
      <c r="DB6" s="1"/>
      <c r="DC6" s="1">
        <v>4</v>
      </c>
      <c r="DD6" s="1">
        <v>4</v>
      </c>
      <c r="DE6" s="1">
        <v>4</v>
      </c>
      <c r="DF6" s="1">
        <v>4</v>
      </c>
      <c r="DG6" s="1">
        <v>4</v>
      </c>
      <c r="DH6" s="1"/>
      <c r="DI6" s="1">
        <v>3</v>
      </c>
      <c r="DJ6" s="1">
        <v>1</v>
      </c>
      <c r="DK6" s="1">
        <v>5</v>
      </c>
      <c r="DL6" s="1">
        <v>3</v>
      </c>
      <c r="DM6" s="1">
        <v>5</v>
      </c>
      <c r="DN6" s="1"/>
      <c r="DO6" s="1">
        <v>2</v>
      </c>
      <c r="DP6" s="1">
        <v>1</v>
      </c>
      <c r="DQ6" s="1">
        <v>4</v>
      </c>
      <c r="DR6" s="1">
        <v>3</v>
      </c>
      <c r="DS6" s="1">
        <v>3</v>
      </c>
      <c r="DT6" s="1"/>
      <c r="DU6" s="1">
        <v>3</v>
      </c>
      <c r="DV6" s="1">
        <v>4</v>
      </c>
      <c r="DW6" s="1">
        <v>4</v>
      </c>
      <c r="DX6" s="1">
        <v>4</v>
      </c>
      <c r="DY6" s="1">
        <v>4</v>
      </c>
      <c r="DZ6" s="1"/>
      <c r="EA6" s="1">
        <v>5</v>
      </c>
      <c r="EB6" s="1">
        <v>2</v>
      </c>
      <c r="EC6" s="1">
        <v>4</v>
      </c>
      <c r="ED6" s="1">
        <v>2</v>
      </c>
      <c r="EE6" s="1">
        <v>5</v>
      </c>
      <c r="EF6" s="1"/>
      <c r="EG6" s="1">
        <v>4</v>
      </c>
      <c r="EH6" s="1">
        <v>4</v>
      </c>
      <c r="EI6" s="1">
        <v>5</v>
      </c>
      <c r="EJ6" s="1">
        <v>5</v>
      </c>
      <c r="EK6" s="1">
        <v>5</v>
      </c>
      <c r="EL6" s="1"/>
      <c r="EM6" s="1">
        <v>5</v>
      </c>
      <c r="EN6" s="1">
        <v>2</v>
      </c>
      <c r="EO6" s="1">
        <v>5</v>
      </c>
      <c r="EP6" s="1">
        <v>4</v>
      </c>
      <c r="EQ6" s="1">
        <v>3</v>
      </c>
      <c r="ER6" s="1"/>
      <c r="ES6" s="1">
        <v>1</v>
      </c>
      <c r="ET6" s="1">
        <v>1</v>
      </c>
      <c r="EU6" s="1">
        <v>4</v>
      </c>
      <c r="EV6" s="1">
        <v>4</v>
      </c>
      <c r="EW6" s="1">
        <v>4</v>
      </c>
      <c r="EX6" s="1"/>
      <c r="EY6" s="1">
        <v>5</v>
      </c>
      <c r="EZ6" s="1">
        <v>2</v>
      </c>
      <c r="FA6" s="1">
        <v>2</v>
      </c>
      <c r="FB6" s="1">
        <v>1</v>
      </c>
      <c r="FC6" s="1">
        <v>4</v>
      </c>
      <c r="FD6" s="1"/>
      <c r="FE6" s="1">
        <v>5</v>
      </c>
      <c r="FF6" s="1">
        <v>2</v>
      </c>
      <c r="FG6" s="1">
        <v>5</v>
      </c>
      <c r="FH6" s="1">
        <v>5</v>
      </c>
      <c r="FI6" s="1">
        <v>2</v>
      </c>
      <c r="FJ6" s="1"/>
      <c r="FK6" s="1">
        <v>5</v>
      </c>
      <c r="FL6" s="1">
        <v>2</v>
      </c>
      <c r="FM6" s="1">
        <v>5</v>
      </c>
      <c r="FN6" s="1">
        <v>5</v>
      </c>
      <c r="FO6" s="1">
        <v>4</v>
      </c>
      <c r="FP6" s="1"/>
      <c r="FQ6" s="1">
        <v>3</v>
      </c>
      <c r="FR6" s="1">
        <v>4</v>
      </c>
      <c r="FS6" s="1">
        <v>5</v>
      </c>
      <c r="FT6" s="1">
        <v>4</v>
      </c>
      <c r="FU6" s="1">
        <v>5</v>
      </c>
      <c r="FV6" s="1"/>
      <c r="FW6" s="1">
        <v>2</v>
      </c>
      <c r="FX6" s="1">
        <v>1</v>
      </c>
      <c r="FY6" s="1">
        <v>4</v>
      </c>
      <c r="FZ6" s="1">
        <v>1</v>
      </c>
      <c r="GA6" s="1">
        <v>4</v>
      </c>
      <c r="GB6" s="1"/>
      <c r="GC6" s="1">
        <v>5</v>
      </c>
      <c r="GD6" s="1">
        <v>4</v>
      </c>
      <c r="GE6" s="1">
        <v>5</v>
      </c>
      <c r="GF6" s="1">
        <v>4</v>
      </c>
      <c r="GG6" s="1">
        <v>1</v>
      </c>
      <c r="GH6" s="1"/>
      <c r="GI6" s="1">
        <v>5</v>
      </c>
      <c r="GJ6" s="1">
        <v>5</v>
      </c>
      <c r="GK6" s="1">
        <v>5</v>
      </c>
      <c r="GL6" s="1">
        <v>5</v>
      </c>
      <c r="GM6" s="1">
        <v>3</v>
      </c>
      <c r="GN6" s="1"/>
      <c r="GO6" s="1">
        <v>5</v>
      </c>
      <c r="GP6" s="1">
        <v>5</v>
      </c>
      <c r="GQ6" s="1">
        <v>5</v>
      </c>
      <c r="GR6" s="1">
        <v>5</v>
      </c>
      <c r="GS6" s="1">
        <v>5</v>
      </c>
      <c r="GT6" s="1"/>
      <c r="GU6" s="1">
        <v>5</v>
      </c>
      <c r="GV6" s="1">
        <v>4</v>
      </c>
      <c r="GW6" s="1">
        <v>5</v>
      </c>
      <c r="GX6" s="1">
        <v>3</v>
      </c>
      <c r="GY6" s="1">
        <v>4</v>
      </c>
      <c r="GZ6" s="1"/>
      <c r="HA6" s="1">
        <v>5</v>
      </c>
      <c r="HB6" s="1">
        <v>3</v>
      </c>
      <c r="HC6" s="1">
        <v>5</v>
      </c>
      <c r="HD6" s="1">
        <v>5</v>
      </c>
      <c r="HE6" s="1">
        <v>2</v>
      </c>
    </row>
    <row r="7" spans="1:213" x14ac:dyDescent="0.25">
      <c r="A7" t="s">
        <v>184</v>
      </c>
      <c r="E7" s="1">
        <f t="shared" ref="E7:I7" si="0">AVERAGE(E6)</f>
        <v>3</v>
      </c>
      <c r="F7" s="1">
        <f t="shared" si="0"/>
        <v>1</v>
      </c>
      <c r="G7" s="1">
        <f t="shared" si="0"/>
        <v>1</v>
      </c>
      <c r="H7" s="1">
        <f t="shared" si="0"/>
        <v>4</v>
      </c>
      <c r="I7" s="1">
        <f t="shared" si="0"/>
        <v>1</v>
      </c>
      <c r="J7" s="1"/>
      <c r="K7" s="1">
        <f t="shared" ref="K7:O7" si="1">AVERAGE(K6)</f>
        <v>4</v>
      </c>
      <c r="L7" s="1">
        <f t="shared" si="1"/>
        <v>4</v>
      </c>
      <c r="M7" s="1">
        <f t="shared" si="1"/>
        <v>4</v>
      </c>
      <c r="N7" s="1">
        <f t="shared" si="1"/>
        <v>4</v>
      </c>
      <c r="O7" s="1">
        <f t="shared" si="1"/>
        <v>1</v>
      </c>
      <c r="P7" s="1"/>
      <c r="Q7" s="1">
        <f t="shared" ref="Q7:U7" si="2">AVERAGE(Q6)</f>
        <v>4</v>
      </c>
      <c r="R7" s="1">
        <f t="shared" si="2"/>
        <v>4</v>
      </c>
      <c r="S7" s="1">
        <f t="shared" si="2"/>
        <v>2</v>
      </c>
      <c r="T7" s="1">
        <f t="shared" si="2"/>
        <v>2</v>
      </c>
      <c r="U7" s="1">
        <f t="shared" si="2"/>
        <v>5</v>
      </c>
      <c r="V7" s="1"/>
      <c r="W7" s="1">
        <f t="shared" ref="W7:AA7" si="3">AVERAGE(W6)</f>
        <v>5</v>
      </c>
      <c r="X7" s="1">
        <f t="shared" si="3"/>
        <v>5</v>
      </c>
      <c r="Y7" s="1">
        <f t="shared" si="3"/>
        <v>5</v>
      </c>
      <c r="Z7" s="1">
        <f t="shared" si="3"/>
        <v>3</v>
      </c>
      <c r="AA7" s="1">
        <f t="shared" si="3"/>
        <v>5</v>
      </c>
      <c r="AB7" s="1"/>
      <c r="AC7" s="1">
        <f t="shared" ref="AC7:AG7" si="4">AVERAGE(AC6)</f>
        <v>2</v>
      </c>
      <c r="AD7" s="1">
        <f t="shared" si="4"/>
        <v>3</v>
      </c>
      <c r="AE7" s="1">
        <f t="shared" si="4"/>
        <v>3</v>
      </c>
      <c r="AF7" s="1">
        <f t="shared" si="4"/>
        <v>1</v>
      </c>
      <c r="AG7" s="1">
        <f t="shared" si="4"/>
        <v>3</v>
      </c>
      <c r="AH7" s="1"/>
      <c r="AI7" s="1">
        <f t="shared" ref="AI7:AM7" si="5">AVERAGE(AI6)</f>
        <v>1</v>
      </c>
      <c r="AJ7" s="1">
        <f t="shared" si="5"/>
        <v>1</v>
      </c>
      <c r="AK7" s="1">
        <f t="shared" si="5"/>
        <v>4</v>
      </c>
      <c r="AL7" s="1">
        <f t="shared" si="5"/>
        <v>4</v>
      </c>
      <c r="AM7" s="1">
        <f t="shared" si="5"/>
        <v>5</v>
      </c>
      <c r="AN7" s="1"/>
      <c r="AO7" s="1">
        <f t="shared" ref="AO7:AS7" si="6">AVERAGE(AO6)</f>
        <v>3</v>
      </c>
      <c r="AP7" s="1">
        <f t="shared" si="6"/>
        <v>4</v>
      </c>
      <c r="AQ7" s="1">
        <f t="shared" si="6"/>
        <v>3</v>
      </c>
      <c r="AR7" s="1">
        <f t="shared" si="6"/>
        <v>4</v>
      </c>
      <c r="AS7" s="1">
        <f t="shared" si="6"/>
        <v>1</v>
      </c>
      <c r="AT7" s="1"/>
      <c r="AU7" s="1">
        <f t="shared" ref="AU7:AY7" si="7">AVERAGE(AU6)</f>
        <v>2</v>
      </c>
      <c r="AV7" s="1">
        <f t="shared" si="7"/>
        <v>3</v>
      </c>
      <c r="AW7" s="1">
        <f t="shared" si="7"/>
        <v>3</v>
      </c>
      <c r="AX7" s="1">
        <f t="shared" si="7"/>
        <v>1</v>
      </c>
      <c r="AY7" s="1">
        <f t="shared" si="7"/>
        <v>1</v>
      </c>
      <c r="AZ7" s="1"/>
      <c r="BA7" s="1">
        <f t="shared" ref="BA7:BE7" si="8">AVERAGE(BA6)</f>
        <v>4</v>
      </c>
      <c r="BB7" s="1">
        <f t="shared" si="8"/>
        <v>4</v>
      </c>
      <c r="BC7" s="1">
        <f t="shared" si="8"/>
        <v>5</v>
      </c>
      <c r="BD7" s="1">
        <f t="shared" si="8"/>
        <v>5</v>
      </c>
      <c r="BE7" s="1">
        <f t="shared" si="8"/>
        <v>5</v>
      </c>
      <c r="BF7" s="1"/>
      <c r="BG7" s="1">
        <f t="shared" ref="BG7:BK7" si="9">AVERAGE(BG6)</f>
        <v>3</v>
      </c>
      <c r="BH7" s="1">
        <f t="shared" si="9"/>
        <v>3</v>
      </c>
      <c r="BI7" s="1">
        <f t="shared" si="9"/>
        <v>1</v>
      </c>
      <c r="BJ7" s="1">
        <f t="shared" si="9"/>
        <v>3</v>
      </c>
      <c r="BK7" s="1">
        <f t="shared" si="9"/>
        <v>3</v>
      </c>
      <c r="BL7" s="1"/>
      <c r="BM7" s="1">
        <f t="shared" ref="BM7:BQ7" si="10">AVERAGE(BM6)</f>
        <v>5</v>
      </c>
      <c r="BN7" s="1">
        <f t="shared" si="10"/>
        <v>2</v>
      </c>
      <c r="BO7" s="1">
        <f t="shared" si="10"/>
        <v>3</v>
      </c>
      <c r="BP7" s="1">
        <f t="shared" si="10"/>
        <v>1</v>
      </c>
      <c r="BQ7" s="1">
        <f t="shared" si="10"/>
        <v>3</v>
      </c>
      <c r="BR7" s="1"/>
      <c r="BS7" s="1">
        <f t="shared" ref="BS7:BW7" si="11">AVERAGE(BS6)</f>
        <v>4</v>
      </c>
      <c r="BT7" s="1">
        <f t="shared" si="11"/>
        <v>4</v>
      </c>
      <c r="BU7" s="1">
        <f t="shared" si="11"/>
        <v>3</v>
      </c>
      <c r="BV7" s="1">
        <f t="shared" si="11"/>
        <v>4</v>
      </c>
      <c r="BW7" s="1">
        <f t="shared" si="11"/>
        <v>3</v>
      </c>
      <c r="BX7" s="1"/>
      <c r="BY7" s="1">
        <f t="shared" ref="BY7:CC7" si="12">AVERAGE(BY6)</f>
        <v>4</v>
      </c>
      <c r="BZ7" s="1">
        <f t="shared" si="12"/>
        <v>4</v>
      </c>
      <c r="CA7" s="1">
        <f t="shared" si="12"/>
        <v>4</v>
      </c>
      <c r="CB7" s="1">
        <f t="shared" si="12"/>
        <v>5</v>
      </c>
      <c r="CC7" s="1">
        <f t="shared" si="12"/>
        <v>2</v>
      </c>
      <c r="CD7" s="1"/>
      <c r="CE7" s="1">
        <f t="shared" ref="CE7:CI7" si="13">AVERAGE(CE6)</f>
        <v>2</v>
      </c>
      <c r="CF7" s="1">
        <f t="shared" si="13"/>
        <v>1</v>
      </c>
      <c r="CG7" s="1">
        <f t="shared" si="13"/>
        <v>5</v>
      </c>
      <c r="CH7" s="1">
        <f t="shared" si="13"/>
        <v>2</v>
      </c>
      <c r="CI7" s="1">
        <f t="shared" si="13"/>
        <v>5</v>
      </c>
      <c r="CJ7" s="1"/>
      <c r="CK7" s="1">
        <f t="shared" ref="CK7:CO7" si="14">AVERAGE(CK6)</f>
        <v>5</v>
      </c>
      <c r="CL7" s="1">
        <f t="shared" si="14"/>
        <v>4</v>
      </c>
      <c r="CM7" s="1">
        <f t="shared" si="14"/>
        <v>3</v>
      </c>
      <c r="CN7" s="1">
        <f t="shared" si="14"/>
        <v>3</v>
      </c>
      <c r="CO7" s="1">
        <f t="shared" si="14"/>
        <v>5</v>
      </c>
      <c r="CP7" s="1"/>
      <c r="CQ7" s="1">
        <f t="shared" ref="CQ7:CU7" si="15">AVERAGE(CQ6)</f>
        <v>4</v>
      </c>
      <c r="CR7" s="1">
        <f t="shared" si="15"/>
        <v>5</v>
      </c>
      <c r="CS7" s="1">
        <f t="shared" si="15"/>
        <v>1</v>
      </c>
      <c r="CT7" s="1">
        <f t="shared" si="15"/>
        <v>4</v>
      </c>
      <c r="CU7" s="1">
        <f t="shared" si="15"/>
        <v>1</v>
      </c>
      <c r="CV7" s="1"/>
      <c r="CW7" s="1">
        <f t="shared" ref="CW7:DA7" si="16">AVERAGE(CW6)</f>
        <v>5</v>
      </c>
      <c r="CX7" s="1">
        <f t="shared" si="16"/>
        <v>1</v>
      </c>
      <c r="CY7" s="1">
        <f t="shared" si="16"/>
        <v>2</v>
      </c>
      <c r="CZ7" s="1">
        <f t="shared" si="16"/>
        <v>3</v>
      </c>
      <c r="DA7" s="1">
        <f t="shared" si="16"/>
        <v>5</v>
      </c>
      <c r="DB7" s="1"/>
      <c r="DC7" s="1">
        <f t="shared" ref="DC7:DG7" si="17">AVERAGE(DC6)</f>
        <v>4</v>
      </c>
      <c r="DD7" s="1">
        <f t="shared" si="17"/>
        <v>4</v>
      </c>
      <c r="DE7" s="1">
        <f t="shared" si="17"/>
        <v>4</v>
      </c>
      <c r="DF7" s="1">
        <f t="shared" si="17"/>
        <v>4</v>
      </c>
      <c r="DG7" s="1">
        <f t="shared" si="17"/>
        <v>4</v>
      </c>
      <c r="DH7" s="1"/>
      <c r="DI7" s="1">
        <f t="shared" ref="DI7:DM7" si="18">AVERAGE(DI6)</f>
        <v>3</v>
      </c>
      <c r="DJ7" s="1">
        <f t="shared" si="18"/>
        <v>1</v>
      </c>
      <c r="DK7" s="1">
        <f t="shared" si="18"/>
        <v>5</v>
      </c>
      <c r="DL7" s="1">
        <f t="shared" si="18"/>
        <v>3</v>
      </c>
      <c r="DM7" s="1">
        <f t="shared" si="18"/>
        <v>5</v>
      </c>
      <c r="DN7" s="1"/>
      <c r="DO7" s="1">
        <f t="shared" ref="DO7:DS7" si="19">AVERAGE(DO6)</f>
        <v>2</v>
      </c>
      <c r="DP7" s="1">
        <f t="shared" si="19"/>
        <v>1</v>
      </c>
      <c r="DQ7" s="1">
        <f t="shared" si="19"/>
        <v>4</v>
      </c>
      <c r="DR7" s="1">
        <f t="shared" si="19"/>
        <v>3</v>
      </c>
      <c r="DS7" s="1">
        <f t="shared" si="19"/>
        <v>3</v>
      </c>
      <c r="DT7" s="1"/>
      <c r="DU7" s="1">
        <f t="shared" ref="DU7:DY7" si="20">AVERAGE(DU6)</f>
        <v>3</v>
      </c>
      <c r="DV7" s="1">
        <f t="shared" si="20"/>
        <v>4</v>
      </c>
      <c r="DW7" s="1">
        <f t="shared" si="20"/>
        <v>4</v>
      </c>
      <c r="DX7" s="1">
        <f t="shared" si="20"/>
        <v>4</v>
      </c>
      <c r="DY7" s="1">
        <f t="shared" si="20"/>
        <v>4</v>
      </c>
      <c r="DZ7" s="1"/>
      <c r="EA7" s="1">
        <f t="shared" ref="EA7:EE7" si="21">AVERAGE(EA6)</f>
        <v>5</v>
      </c>
      <c r="EB7" s="1">
        <f t="shared" si="21"/>
        <v>2</v>
      </c>
      <c r="EC7" s="1">
        <f t="shared" si="21"/>
        <v>4</v>
      </c>
      <c r="ED7" s="1">
        <f t="shared" si="21"/>
        <v>2</v>
      </c>
      <c r="EE7" s="1">
        <f t="shared" si="21"/>
        <v>5</v>
      </c>
      <c r="EF7" s="1"/>
      <c r="EG7" s="1">
        <f t="shared" ref="EG7:EK7" si="22">AVERAGE(EG6)</f>
        <v>4</v>
      </c>
      <c r="EH7" s="1">
        <f t="shared" si="22"/>
        <v>4</v>
      </c>
      <c r="EI7" s="1">
        <f t="shared" si="22"/>
        <v>5</v>
      </c>
      <c r="EJ7" s="1">
        <f t="shared" si="22"/>
        <v>5</v>
      </c>
      <c r="EK7" s="1">
        <f t="shared" si="22"/>
        <v>5</v>
      </c>
      <c r="EL7" s="1"/>
      <c r="EM7" s="1">
        <f t="shared" ref="EM7:EQ7" si="23">AVERAGE(EM6)</f>
        <v>5</v>
      </c>
      <c r="EN7" s="1">
        <f t="shared" si="23"/>
        <v>2</v>
      </c>
      <c r="EO7" s="1">
        <f t="shared" si="23"/>
        <v>5</v>
      </c>
      <c r="EP7" s="1">
        <f t="shared" si="23"/>
        <v>4</v>
      </c>
      <c r="EQ7" s="1">
        <f t="shared" si="23"/>
        <v>3</v>
      </c>
      <c r="ER7" s="1"/>
      <c r="ES7" s="1">
        <f t="shared" ref="ES7:EW7" si="24">AVERAGE(ES6)</f>
        <v>1</v>
      </c>
      <c r="ET7" s="1">
        <f t="shared" si="24"/>
        <v>1</v>
      </c>
      <c r="EU7" s="1">
        <f t="shared" si="24"/>
        <v>4</v>
      </c>
      <c r="EV7" s="1">
        <f t="shared" si="24"/>
        <v>4</v>
      </c>
      <c r="EW7" s="1">
        <f t="shared" si="24"/>
        <v>4</v>
      </c>
      <c r="EX7" s="1"/>
      <c r="EY7" s="1">
        <f t="shared" ref="EY7:FC7" si="25">AVERAGE(EY6)</f>
        <v>5</v>
      </c>
      <c r="EZ7" s="1">
        <f t="shared" si="25"/>
        <v>2</v>
      </c>
      <c r="FA7" s="1">
        <f t="shared" si="25"/>
        <v>2</v>
      </c>
      <c r="FB7" s="1">
        <f t="shared" si="25"/>
        <v>1</v>
      </c>
      <c r="FC7" s="1">
        <f t="shared" si="25"/>
        <v>4</v>
      </c>
      <c r="FD7" s="1"/>
      <c r="FE7" s="1">
        <f t="shared" ref="FE7:FI7" si="26">AVERAGE(FE6)</f>
        <v>5</v>
      </c>
      <c r="FF7" s="1">
        <f t="shared" si="26"/>
        <v>2</v>
      </c>
      <c r="FG7" s="1">
        <f t="shared" si="26"/>
        <v>5</v>
      </c>
      <c r="FH7" s="1">
        <f t="shared" si="26"/>
        <v>5</v>
      </c>
      <c r="FI7" s="1">
        <f t="shared" si="26"/>
        <v>2</v>
      </c>
      <c r="FJ7" s="1"/>
      <c r="FK7" s="1">
        <f t="shared" ref="FK7:FO7" si="27">AVERAGE(FK6)</f>
        <v>5</v>
      </c>
      <c r="FL7" s="1">
        <f t="shared" si="27"/>
        <v>2</v>
      </c>
      <c r="FM7" s="1">
        <f t="shared" si="27"/>
        <v>5</v>
      </c>
      <c r="FN7" s="1">
        <f t="shared" si="27"/>
        <v>5</v>
      </c>
      <c r="FO7" s="1">
        <f t="shared" si="27"/>
        <v>4</v>
      </c>
      <c r="FP7" s="1"/>
      <c r="FQ7" s="1">
        <f t="shared" ref="FQ7:FU7" si="28">AVERAGE(FQ6)</f>
        <v>3</v>
      </c>
      <c r="FR7" s="1">
        <f t="shared" si="28"/>
        <v>4</v>
      </c>
      <c r="FS7" s="1">
        <f t="shared" si="28"/>
        <v>5</v>
      </c>
      <c r="FT7" s="1">
        <f t="shared" si="28"/>
        <v>4</v>
      </c>
      <c r="FU7" s="1">
        <f t="shared" si="28"/>
        <v>5</v>
      </c>
      <c r="FV7" s="1"/>
      <c r="FW7" s="1">
        <f t="shared" ref="FW7:GA7" si="29">AVERAGE(FW6)</f>
        <v>2</v>
      </c>
      <c r="FX7" s="1">
        <f t="shared" si="29"/>
        <v>1</v>
      </c>
      <c r="FY7" s="1">
        <f t="shared" si="29"/>
        <v>4</v>
      </c>
      <c r="FZ7" s="1">
        <f t="shared" si="29"/>
        <v>1</v>
      </c>
      <c r="GA7" s="1">
        <f t="shared" si="29"/>
        <v>4</v>
      </c>
      <c r="GB7" s="1"/>
      <c r="GC7" s="1">
        <f t="shared" ref="GC7:GG7" si="30">AVERAGE(GC6)</f>
        <v>5</v>
      </c>
      <c r="GD7" s="1">
        <f t="shared" si="30"/>
        <v>4</v>
      </c>
      <c r="GE7" s="1">
        <f t="shared" si="30"/>
        <v>5</v>
      </c>
      <c r="GF7" s="1">
        <f t="shared" si="30"/>
        <v>4</v>
      </c>
      <c r="GG7" s="1">
        <f t="shared" si="30"/>
        <v>1</v>
      </c>
      <c r="GH7" s="1"/>
      <c r="GI7" s="1">
        <f t="shared" ref="GI7:GM7" si="31">AVERAGE(GI6)</f>
        <v>5</v>
      </c>
      <c r="GJ7" s="1">
        <f t="shared" si="31"/>
        <v>5</v>
      </c>
      <c r="GK7" s="1">
        <f t="shared" si="31"/>
        <v>5</v>
      </c>
      <c r="GL7" s="1">
        <f t="shared" si="31"/>
        <v>5</v>
      </c>
      <c r="GM7" s="1">
        <f t="shared" si="31"/>
        <v>3</v>
      </c>
      <c r="GN7" s="1"/>
      <c r="GO7" s="1">
        <f t="shared" ref="GO7:GS7" si="32">AVERAGE(GO6)</f>
        <v>5</v>
      </c>
      <c r="GP7" s="1">
        <f t="shared" si="32"/>
        <v>5</v>
      </c>
      <c r="GQ7" s="1">
        <f t="shared" si="32"/>
        <v>5</v>
      </c>
      <c r="GR7" s="1">
        <f t="shared" si="32"/>
        <v>5</v>
      </c>
      <c r="GS7" s="1">
        <f t="shared" si="32"/>
        <v>5</v>
      </c>
      <c r="GT7" s="1"/>
      <c r="GU7" s="1">
        <f t="shared" ref="GU7:GY7" si="33">AVERAGE(GU6)</f>
        <v>5</v>
      </c>
      <c r="GV7" s="1">
        <f t="shared" si="33"/>
        <v>4</v>
      </c>
      <c r="GW7" s="1">
        <f t="shared" si="33"/>
        <v>5</v>
      </c>
      <c r="GX7" s="1">
        <f t="shared" si="33"/>
        <v>3</v>
      </c>
      <c r="GY7" s="1">
        <f t="shared" si="33"/>
        <v>4</v>
      </c>
      <c r="GZ7" s="1"/>
      <c r="HA7" s="1">
        <f t="shared" ref="HA7:HE7" si="34">AVERAGE(HA6)</f>
        <v>5</v>
      </c>
      <c r="HB7" s="1">
        <f t="shared" si="34"/>
        <v>3</v>
      </c>
      <c r="HC7" s="1">
        <f t="shared" si="34"/>
        <v>5</v>
      </c>
      <c r="HD7" s="1">
        <f t="shared" si="34"/>
        <v>5</v>
      </c>
      <c r="HE7" s="1">
        <f t="shared" si="34"/>
        <v>2</v>
      </c>
    </row>
    <row r="8" spans="1:213" x14ac:dyDescent="0.25"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</row>
    <row r="9" spans="1:213" x14ac:dyDescent="0.25">
      <c r="A9" t="s">
        <v>185</v>
      </c>
      <c r="B9" t="s">
        <v>186</v>
      </c>
      <c r="C9">
        <v>89570</v>
      </c>
      <c r="E9" s="1">
        <v>4</v>
      </c>
      <c r="F9" s="1">
        <v>2</v>
      </c>
      <c r="G9" s="1">
        <v>1</v>
      </c>
      <c r="H9" s="1">
        <v>4</v>
      </c>
      <c r="I9" s="1">
        <v>2</v>
      </c>
      <c r="J9" s="1"/>
      <c r="K9" s="1">
        <v>4</v>
      </c>
      <c r="L9" s="1">
        <v>4</v>
      </c>
      <c r="M9" s="1">
        <v>4</v>
      </c>
      <c r="N9" s="1">
        <v>4</v>
      </c>
      <c r="O9" s="1">
        <v>2</v>
      </c>
      <c r="P9" s="1"/>
      <c r="Q9" s="1">
        <v>3</v>
      </c>
      <c r="R9" s="1">
        <v>3</v>
      </c>
      <c r="S9" s="1">
        <v>3</v>
      </c>
      <c r="T9" s="1">
        <v>2</v>
      </c>
      <c r="U9" s="1">
        <v>3</v>
      </c>
      <c r="V9" s="1"/>
      <c r="W9" s="1">
        <v>5</v>
      </c>
      <c r="X9" s="1">
        <v>3</v>
      </c>
      <c r="Y9" s="1">
        <v>5</v>
      </c>
      <c r="Z9" s="1">
        <v>5</v>
      </c>
      <c r="AA9" s="1">
        <v>5</v>
      </c>
      <c r="AB9" s="1"/>
      <c r="AC9" s="1">
        <v>4</v>
      </c>
      <c r="AD9" s="1">
        <v>5</v>
      </c>
      <c r="AE9" s="1">
        <v>4</v>
      </c>
      <c r="AF9" s="1">
        <v>2</v>
      </c>
      <c r="AG9" s="1">
        <v>5</v>
      </c>
      <c r="AH9" s="1"/>
      <c r="AI9" s="1">
        <v>2</v>
      </c>
      <c r="AJ9" s="1">
        <v>3</v>
      </c>
      <c r="AK9" s="1">
        <v>5</v>
      </c>
      <c r="AL9" s="1">
        <v>4</v>
      </c>
      <c r="AM9" s="1">
        <v>5</v>
      </c>
      <c r="AN9" s="1"/>
      <c r="AO9" s="1">
        <v>4</v>
      </c>
      <c r="AP9" s="1">
        <v>4</v>
      </c>
      <c r="AQ9" s="1">
        <v>3</v>
      </c>
      <c r="AR9" s="1">
        <v>5</v>
      </c>
      <c r="AS9" s="1">
        <v>3</v>
      </c>
      <c r="AT9" s="1"/>
      <c r="AU9" s="1">
        <v>5</v>
      </c>
      <c r="AV9" s="1">
        <v>2</v>
      </c>
      <c r="AW9" s="1">
        <v>5</v>
      </c>
      <c r="AX9" s="1">
        <v>2</v>
      </c>
      <c r="AY9" s="1">
        <v>4</v>
      </c>
      <c r="AZ9" s="1"/>
      <c r="BA9" s="1">
        <v>5</v>
      </c>
      <c r="BB9" s="1">
        <v>2</v>
      </c>
      <c r="BC9" s="1">
        <v>5</v>
      </c>
      <c r="BD9" s="1">
        <v>3</v>
      </c>
      <c r="BE9" s="1">
        <v>5</v>
      </c>
      <c r="BF9" s="1"/>
      <c r="BG9" s="1">
        <v>4</v>
      </c>
      <c r="BH9" s="1">
        <v>5</v>
      </c>
      <c r="BI9" s="1">
        <v>4</v>
      </c>
      <c r="BJ9" s="1">
        <v>4</v>
      </c>
      <c r="BK9" s="1">
        <v>5</v>
      </c>
      <c r="BL9" s="1"/>
      <c r="BM9" s="1">
        <v>3</v>
      </c>
      <c r="BN9" s="1">
        <v>2</v>
      </c>
      <c r="BO9" s="1">
        <v>4</v>
      </c>
      <c r="BP9" s="1">
        <v>2</v>
      </c>
      <c r="BQ9" s="1">
        <v>5</v>
      </c>
      <c r="BR9" s="1"/>
      <c r="BS9" s="1">
        <v>5</v>
      </c>
      <c r="BT9" s="1">
        <v>5</v>
      </c>
      <c r="BU9" s="1">
        <v>4</v>
      </c>
      <c r="BV9" s="1">
        <v>4</v>
      </c>
      <c r="BW9" s="1">
        <v>5</v>
      </c>
      <c r="BX9" s="1"/>
      <c r="BY9" s="1">
        <v>5</v>
      </c>
      <c r="BZ9" s="1">
        <v>5</v>
      </c>
      <c r="CA9" s="1">
        <v>4</v>
      </c>
      <c r="CB9" s="1">
        <v>5</v>
      </c>
      <c r="CC9" s="1">
        <v>5</v>
      </c>
      <c r="CD9" s="1"/>
      <c r="CE9" s="1">
        <v>4</v>
      </c>
      <c r="CF9" s="1">
        <v>2</v>
      </c>
      <c r="CG9" s="1">
        <v>5</v>
      </c>
      <c r="CH9" s="1">
        <v>4</v>
      </c>
      <c r="CI9" s="1">
        <v>4</v>
      </c>
      <c r="CJ9" s="1"/>
      <c r="CK9" s="1">
        <v>5</v>
      </c>
      <c r="CL9" s="1">
        <v>5</v>
      </c>
      <c r="CM9" s="1">
        <v>4</v>
      </c>
      <c r="CN9" s="1">
        <v>4</v>
      </c>
      <c r="CO9" s="1">
        <v>5</v>
      </c>
      <c r="CP9" s="1"/>
      <c r="CQ9" s="1">
        <v>4</v>
      </c>
      <c r="CR9" s="1">
        <v>4</v>
      </c>
      <c r="CS9" s="1">
        <v>5</v>
      </c>
      <c r="CT9" s="1">
        <v>5</v>
      </c>
      <c r="CU9" s="1">
        <v>1</v>
      </c>
      <c r="CV9" s="1"/>
      <c r="CW9" s="1">
        <v>4</v>
      </c>
      <c r="CX9" s="1">
        <v>5</v>
      </c>
      <c r="CY9" s="1">
        <v>4</v>
      </c>
      <c r="CZ9" s="1">
        <v>5</v>
      </c>
      <c r="DA9" s="1">
        <v>5</v>
      </c>
      <c r="DB9" s="1"/>
      <c r="DC9" s="1">
        <v>3</v>
      </c>
      <c r="DD9" s="1">
        <v>2</v>
      </c>
      <c r="DE9" s="1">
        <v>4</v>
      </c>
      <c r="DF9" s="1">
        <v>3</v>
      </c>
      <c r="DG9" s="1">
        <v>4</v>
      </c>
      <c r="DH9" s="1"/>
      <c r="DI9" s="1">
        <v>3</v>
      </c>
      <c r="DJ9" s="1">
        <v>4</v>
      </c>
      <c r="DK9" s="1">
        <v>5</v>
      </c>
      <c r="DL9" s="1">
        <v>4</v>
      </c>
      <c r="DM9" s="1">
        <v>5</v>
      </c>
      <c r="DN9" s="1"/>
      <c r="DO9" s="1">
        <v>4</v>
      </c>
      <c r="DP9" s="1">
        <v>3</v>
      </c>
      <c r="DQ9" s="1">
        <v>5</v>
      </c>
      <c r="DR9" s="1">
        <v>5</v>
      </c>
      <c r="DS9" s="1">
        <v>3</v>
      </c>
      <c r="DT9" s="1"/>
      <c r="DU9" s="1">
        <v>5</v>
      </c>
      <c r="DV9" s="1">
        <v>5</v>
      </c>
      <c r="DW9" s="1">
        <v>3</v>
      </c>
      <c r="DX9" s="1">
        <v>3</v>
      </c>
      <c r="DY9" s="1">
        <v>3</v>
      </c>
      <c r="DZ9" s="1"/>
      <c r="EA9" s="1">
        <v>5</v>
      </c>
      <c r="EB9" s="1">
        <v>3</v>
      </c>
      <c r="EC9" s="1">
        <v>5</v>
      </c>
      <c r="ED9" s="1">
        <v>3</v>
      </c>
      <c r="EE9" s="1">
        <v>5</v>
      </c>
      <c r="EF9" s="1"/>
      <c r="EG9" s="1">
        <v>5</v>
      </c>
      <c r="EH9" s="1">
        <v>5</v>
      </c>
      <c r="EI9" s="1">
        <v>5</v>
      </c>
      <c r="EJ9" s="1">
        <v>5</v>
      </c>
      <c r="EK9" s="1">
        <v>4</v>
      </c>
      <c r="EL9" s="1"/>
      <c r="EM9" s="1">
        <v>5</v>
      </c>
      <c r="EN9" s="1">
        <v>4</v>
      </c>
      <c r="EO9" s="1">
        <v>5</v>
      </c>
      <c r="EP9" s="1">
        <v>3</v>
      </c>
      <c r="EQ9" s="1">
        <v>4</v>
      </c>
      <c r="ER9" s="1"/>
      <c r="ES9" s="1">
        <v>2</v>
      </c>
      <c r="ET9" s="1">
        <v>3</v>
      </c>
      <c r="EU9" s="1">
        <v>4</v>
      </c>
      <c r="EV9" s="1">
        <v>3</v>
      </c>
      <c r="EW9" s="1">
        <v>5</v>
      </c>
      <c r="EX9" s="1"/>
      <c r="EY9" s="1">
        <v>5</v>
      </c>
      <c r="EZ9" s="1">
        <v>3</v>
      </c>
      <c r="FA9" s="1">
        <v>3</v>
      </c>
      <c r="FB9" s="1">
        <v>4</v>
      </c>
      <c r="FC9" s="1">
        <v>2</v>
      </c>
      <c r="FD9" s="1"/>
      <c r="FE9" s="1">
        <v>4</v>
      </c>
      <c r="FF9" s="1">
        <v>2</v>
      </c>
      <c r="FG9" s="1">
        <v>5</v>
      </c>
      <c r="FH9" s="1">
        <v>4</v>
      </c>
      <c r="FI9" s="1">
        <v>3</v>
      </c>
      <c r="FJ9" s="1"/>
      <c r="FK9" s="1">
        <v>5</v>
      </c>
      <c r="FL9" s="1">
        <v>4</v>
      </c>
      <c r="FM9" s="1">
        <v>3</v>
      </c>
      <c r="FN9" s="1">
        <v>5</v>
      </c>
      <c r="FO9" s="1">
        <v>3</v>
      </c>
      <c r="FP9" s="1"/>
      <c r="FQ9" s="1">
        <v>2</v>
      </c>
      <c r="FR9" s="1">
        <v>3</v>
      </c>
      <c r="FS9" s="1">
        <v>4</v>
      </c>
      <c r="FT9" s="1">
        <v>3</v>
      </c>
      <c r="FU9" s="1">
        <v>4</v>
      </c>
      <c r="FV9" s="1"/>
      <c r="FW9" s="1">
        <v>3</v>
      </c>
      <c r="FX9" s="1">
        <v>4</v>
      </c>
      <c r="FY9" s="1">
        <v>2</v>
      </c>
      <c r="FZ9" s="1">
        <v>2</v>
      </c>
      <c r="GA9" s="1">
        <v>3</v>
      </c>
      <c r="GB9" s="1"/>
      <c r="GC9" s="1">
        <v>3</v>
      </c>
      <c r="GD9" s="1">
        <v>2</v>
      </c>
      <c r="GE9" s="1">
        <v>4</v>
      </c>
      <c r="GF9" s="1">
        <v>4</v>
      </c>
      <c r="GG9" s="1">
        <v>1</v>
      </c>
      <c r="GH9" s="1"/>
      <c r="GI9" s="1">
        <v>5</v>
      </c>
      <c r="GJ9" s="1">
        <v>5</v>
      </c>
      <c r="GK9" s="1">
        <v>5</v>
      </c>
      <c r="GL9" s="1">
        <v>4</v>
      </c>
      <c r="GM9" s="1">
        <v>3</v>
      </c>
      <c r="GN9" s="1"/>
      <c r="GO9" s="1">
        <v>3</v>
      </c>
      <c r="GP9" s="1">
        <v>5</v>
      </c>
      <c r="GQ9" s="1">
        <v>3</v>
      </c>
      <c r="GR9" s="1">
        <v>4</v>
      </c>
      <c r="GS9" s="1">
        <v>2</v>
      </c>
      <c r="GT9" s="1"/>
      <c r="GU9" s="1">
        <v>4</v>
      </c>
      <c r="GV9" s="1">
        <v>3</v>
      </c>
      <c r="GW9" s="1">
        <v>4</v>
      </c>
      <c r="GX9" s="1">
        <v>5</v>
      </c>
      <c r="GY9" s="1">
        <v>5</v>
      </c>
      <c r="GZ9" s="1"/>
      <c r="HA9" s="1">
        <v>5</v>
      </c>
      <c r="HB9" s="1">
        <v>4</v>
      </c>
      <c r="HC9" s="1">
        <v>3</v>
      </c>
      <c r="HD9" s="1">
        <v>5</v>
      </c>
      <c r="HE9" s="1">
        <v>4</v>
      </c>
    </row>
    <row r="10" spans="1:213" x14ac:dyDescent="0.25">
      <c r="A10" t="s">
        <v>187</v>
      </c>
      <c r="B10" t="s">
        <v>186</v>
      </c>
      <c r="C10">
        <v>10268</v>
      </c>
      <c r="E10" s="1">
        <v>2</v>
      </c>
      <c r="F10" s="1">
        <v>1</v>
      </c>
      <c r="G10" s="1">
        <v>1</v>
      </c>
      <c r="H10" s="1">
        <v>2</v>
      </c>
      <c r="I10" s="1">
        <v>1</v>
      </c>
      <c r="J10" s="1"/>
      <c r="K10" s="1">
        <v>4</v>
      </c>
      <c r="L10" s="1">
        <v>3</v>
      </c>
      <c r="M10" s="1">
        <v>2</v>
      </c>
      <c r="N10" s="1">
        <v>4</v>
      </c>
      <c r="O10" s="1">
        <v>1</v>
      </c>
      <c r="P10" s="1"/>
      <c r="Q10" s="1">
        <v>1</v>
      </c>
      <c r="R10" s="1">
        <v>2</v>
      </c>
      <c r="S10" s="1">
        <v>2</v>
      </c>
      <c r="T10" s="1">
        <v>1</v>
      </c>
      <c r="U10" s="1">
        <v>3</v>
      </c>
      <c r="V10" s="1"/>
      <c r="W10" s="1">
        <v>3</v>
      </c>
      <c r="X10" s="1">
        <v>2</v>
      </c>
      <c r="Y10" s="1">
        <v>5</v>
      </c>
      <c r="Z10" s="1">
        <v>3</v>
      </c>
      <c r="AA10" s="1">
        <v>3</v>
      </c>
      <c r="AB10" s="1"/>
      <c r="AC10" s="1">
        <v>3</v>
      </c>
      <c r="AD10" s="1">
        <v>2</v>
      </c>
      <c r="AE10" s="1">
        <v>3</v>
      </c>
      <c r="AF10" s="1">
        <v>1</v>
      </c>
      <c r="AG10" s="1">
        <v>4</v>
      </c>
      <c r="AH10" s="1"/>
      <c r="AI10" s="1">
        <v>1</v>
      </c>
      <c r="AJ10" s="1">
        <v>1</v>
      </c>
      <c r="AK10" s="1">
        <v>2</v>
      </c>
      <c r="AL10" s="1">
        <v>3</v>
      </c>
      <c r="AM10" s="1">
        <v>3</v>
      </c>
      <c r="AN10" s="1"/>
      <c r="AO10" s="1">
        <v>3</v>
      </c>
      <c r="AP10" s="1">
        <v>4</v>
      </c>
      <c r="AQ10" s="1">
        <v>3</v>
      </c>
      <c r="AR10" s="1">
        <v>4</v>
      </c>
      <c r="AS10" s="1">
        <v>2</v>
      </c>
      <c r="AT10" s="1"/>
      <c r="AU10" s="1">
        <v>5</v>
      </c>
      <c r="AV10" s="1">
        <v>1</v>
      </c>
      <c r="AW10" s="1">
        <v>4</v>
      </c>
      <c r="AX10" s="1">
        <v>1</v>
      </c>
      <c r="AY10" s="1">
        <v>1</v>
      </c>
      <c r="AZ10" s="1"/>
      <c r="BA10" s="1">
        <v>3</v>
      </c>
      <c r="BB10" s="1">
        <v>2</v>
      </c>
      <c r="BC10" s="1">
        <v>5</v>
      </c>
      <c r="BD10" s="1">
        <v>5</v>
      </c>
      <c r="BE10" s="1">
        <v>5</v>
      </c>
      <c r="BF10" s="1"/>
      <c r="BG10" s="1">
        <v>2</v>
      </c>
      <c r="BH10" s="1">
        <v>3</v>
      </c>
      <c r="BI10" s="1">
        <v>1</v>
      </c>
      <c r="BJ10" s="1">
        <v>1</v>
      </c>
      <c r="BK10" s="1">
        <v>5</v>
      </c>
      <c r="BL10" s="1"/>
      <c r="BM10" s="1">
        <v>2</v>
      </c>
      <c r="BN10" s="1">
        <v>1</v>
      </c>
      <c r="BO10" s="1">
        <v>4</v>
      </c>
      <c r="BP10" s="1">
        <v>3</v>
      </c>
      <c r="BQ10" s="1">
        <v>3</v>
      </c>
      <c r="BR10" s="1"/>
      <c r="BS10" s="1">
        <v>2</v>
      </c>
      <c r="BT10" s="1">
        <v>3</v>
      </c>
      <c r="BU10" s="1">
        <v>2</v>
      </c>
      <c r="BV10" s="1">
        <v>3</v>
      </c>
      <c r="BW10" s="1">
        <v>2</v>
      </c>
      <c r="BX10" s="1"/>
      <c r="BY10" s="1">
        <v>2</v>
      </c>
      <c r="BZ10" s="1">
        <v>3</v>
      </c>
      <c r="CA10" s="1">
        <v>3</v>
      </c>
      <c r="CB10" s="1">
        <v>4</v>
      </c>
      <c r="CC10" s="1">
        <v>2</v>
      </c>
      <c r="CD10" s="1"/>
      <c r="CE10" s="1">
        <v>1</v>
      </c>
      <c r="CF10" s="1">
        <v>1</v>
      </c>
      <c r="CG10" s="1">
        <v>2</v>
      </c>
      <c r="CH10" s="1">
        <v>1</v>
      </c>
      <c r="CI10" s="1">
        <v>2</v>
      </c>
      <c r="CJ10" s="1"/>
      <c r="CK10" s="1">
        <v>3</v>
      </c>
      <c r="CL10" s="1">
        <v>2</v>
      </c>
      <c r="CM10" s="1">
        <v>1</v>
      </c>
      <c r="CN10" s="1">
        <v>1</v>
      </c>
      <c r="CO10" s="1">
        <v>4</v>
      </c>
      <c r="CP10" s="1"/>
      <c r="CQ10" s="1">
        <v>2</v>
      </c>
      <c r="CR10" s="1">
        <v>2</v>
      </c>
      <c r="CS10" s="1">
        <v>3</v>
      </c>
      <c r="CT10" s="1">
        <v>5</v>
      </c>
      <c r="CU10" s="1">
        <v>1</v>
      </c>
      <c r="CV10" s="1"/>
      <c r="CW10" s="1">
        <v>3</v>
      </c>
      <c r="CX10" s="1">
        <v>1</v>
      </c>
      <c r="CY10" s="1">
        <v>2</v>
      </c>
      <c r="CZ10" s="1">
        <v>1</v>
      </c>
      <c r="DA10" s="1">
        <v>3</v>
      </c>
      <c r="DB10" s="1"/>
      <c r="DC10" s="1">
        <v>3</v>
      </c>
      <c r="DD10" s="1">
        <v>2</v>
      </c>
      <c r="DE10" s="1">
        <v>3</v>
      </c>
      <c r="DF10" s="1">
        <v>4</v>
      </c>
      <c r="DG10" s="1">
        <v>4</v>
      </c>
      <c r="DH10" s="1"/>
      <c r="DI10" s="1">
        <v>1</v>
      </c>
      <c r="DJ10" s="1">
        <v>1</v>
      </c>
      <c r="DK10" s="1">
        <v>4</v>
      </c>
      <c r="DL10" s="1">
        <v>1</v>
      </c>
      <c r="DM10" s="1">
        <v>3</v>
      </c>
      <c r="DN10" s="1"/>
      <c r="DO10" s="1">
        <v>1</v>
      </c>
      <c r="DP10" s="1">
        <v>1</v>
      </c>
      <c r="DQ10" s="1">
        <v>5</v>
      </c>
      <c r="DR10" s="1">
        <v>2</v>
      </c>
      <c r="DS10" s="1">
        <v>1</v>
      </c>
      <c r="DT10" s="1"/>
      <c r="DU10" s="1">
        <v>2</v>
      </c>
      <c r="DV10" s="1">
        <v>1</v>
      </c>
      <c r="DW10" s="1">
        <v>2</v>
      </c>
      <c r="DX10" s="1">
        <v>2</v>
      </c>
      <c r="DY10" s="1">
        <v>2</v>
      </c>
      <c r="DZ10" s="1"/>
      <c r="EA10" s="1">
        <v>3</v>
      </c>
      <c r="EB10" s="1">
        <v>1</v>
      </c>
      <c r="EC10" s="1">
        <v>4</v>
      </c>
      <c r="ED10" s="1">
        <v>2</v>
      </c>
      <c r="EE10" s="1">
        <v>2</v>
      </c>
      <c r="EF10" s="1"/>
      <c r="EG10" s="1">
        <v>3</v>
      </c>
      <c r="EH10" s="1">
        <v>2</v>
      </c>
      <c r="EI10" s="1">
        <v>3</v>
      </c>
      <c r="EJ10" s="1">
        <v>2</v>
      </c>
      <c r="EK10" s="1">
        <v>3</v>
      </c>
      <c r="EL10" s="1"/>
      <c r="EM10" s="1">
        <v>4</v>
      </c>
      <c r="EN10" s="1">
        <v>3</v>
      </c>
      <c r="EO10" s="1">
        <v>3</v>
      </c>
      <c r="EP10" s="1">
        <v>2</v>
      </c>
      <c r="EQ10" s="1">
        <v>1</v>
      </c>
      <c r="ER10" s="1"/>
      <c r="ES10" s="1">
        <v>3</v>
      </c>
      <c r="ET10" s="1">
        <v>1</v>
      </c>
      <c r="EU10" s="1">
        <v>2</v>
      </c>
      <c r="EV10" s="1">
        <v>4</v>
      </c>
      <c r="EW10" s="1">
        <v>4</v>
      </c>
      <c r="EX10" s="1"/>
      <c r="EY10" s="1">
        <v>4</v>
      </c>
      <c r="EZ10" s="1">
        <v>1</v>
      </c>
      <c r="FA10" s="1">
        <v>3</v>
      </c>
      <c r="FB10" s="1">
        <v>1</v>
      </c>
      <c r="FC10" s="1">
        <v>2</v>
      </c>
      <c r="FD10" s="1"/>
      <c r="FE10" s="1">
        <v>3</v>
      </c>
      <c r="FF10" s="1">
        <v>1</v>
      </c>
      <c r="FG10" s="1">
        <v>3</v>
      </c>
      <c r="FH10" s="1">
        <v>2</v>
      </c>
      <c r="FI10" s="1">
        <v>3</v>
      </c>
      <c r="FJ10" s="1"/>
      <c r="FK10" s="1">
        <v>2</v>
      </c>
      <c r="FL10" s="1">
        <v>1</v>
      </c>
      <c r="FM10" s="1">
        <v>2</v>
      </c>
      <c r="FN10" s="1">
        <v>1</v>
      </c>
      <c r="FO10" s="1">
        <v>1</v>
      </c>
      <c r="FP10" s="1"/>
      <c r="FQ10" s="1">
        <v>1</v>
      </c>
      <c r="FR10" s="1">
        <v>1</v>
      </c>
      <c r="FS10" s="1">
        <v>2</v>
      </c>
      <c r="FT10" s="1">
        <v>2</v>
      </c>
      <c r="FU10" s="1">
        <v>4</v>
      </c>
      <c r="FV10" s="1"/>
      <c r="FW10" s="1">
        <v>1</v>
      </c>
      <c r="FX10" s="1">
        <v>2</v>
      </c>
      <c r="FY10" s="1">
        <v>3</v>
      </c>
      <c r="FZ10" s="1">
        <v>2</v>
      </c>
      <c r="GA10" s="1">
        <v>5</v>
      </c>
      <c r="GB10" s="1"/>
      <c r="GC10" s="1">
        <v>1</v>
      </c>
      <c r="GD10" s="1">
        <v>1</v>
      </c>
      <c r="GE10" s="1">
        <v>1</v>
      </c>
      <c r="GF10" s="1">
        <v>1</v>
      </c>
      <c r="GG10" s="1">
        <v>1</v>
      </c>
      <c r="GH10" s="1"/>
      <c r="GI10" s="1">
        <v>4</v>
      </c>
      <c r="GJ10" s="1">
        <v>4</v>
      </c>
      <c r="GK10" s="1">
        <v>3</v>
      </c>
      <c r="GL10" s="1">
        <v>3</v>
      </c>
      <c r="GM10" s="1">
        <v>1</v>
      </c>
      <c r="GN10" s="1"/>
      <c r="GO10" s="1">
        <v>3</v>
      </c>
      <c r="GP10" s="1">
        <v>3</v>
      </c>
      <c r="GQ10" s="1">
        <v>3</v>
      </c>
      <c r="GR10" s="1">
        <v>3</v>
      </c>
      <c r="GS10" s="1">
        <v>3</v>
      </c>
      <c r="GT10" s="1"/>
      <c r="GU10" s="1">
        <v>4</v>
      </c>
      <c r="GV10" s="1">
        <v>2</v>
      </c>
      <c r="GW10" s="1">
        <v>2</v>
      </c>
      <c r="GX10" s="1">
        <v>4</v>
      </c>
      <c r="GY10" s="1">
        <v>1</v>
      </c>
      <c r="GZ10" s="1"/>
      <c r="HA10" s="1">
        <v>3</v>
      </c>
      <c r="HB10" s="1">
        <v>2</v>
      </c>
      <c r="HC10" s="1">
        <v>3</v>
      </c>
      <c r="HD10" s="1">
        <v>4</v>
      </c>
      <c r="HE10" s="1">
        <v>5</v>
      </c>
    </row>
    <row r="11" spans="1:213" x14ac:dyDescent="0.25">
      <c r="A11" t="s">
        <v>184</v>
      </c>
      <c r="E11" s="1">
        <f t="shared" ref="E11:I11" si="35">AVERAGE(E9:E10)</f>
        <v>3</v>
      </c>
      <c r="F11" s="1">
        <f t="shared" si="35"/>
        <v>1.5</v>
      </c>
      <c r="G11" s="1">
        <f t="shared" si="35"/>
        <v>1</v>
      </c>
      <c r="H11" s="1">
        <f t="shared" si="35"/>
        <v>3</v>
      </c>
      <c r="I11" s="1">
        <f t="shared" si="35"/>
        <v>1.5</v>
      </c>
      <c r="J11" s="1"/>
      <c r="K11" s="1">
        <f t="shared" ref="K11:O11" si="36">AVERAGE(K9:K10)</f>
        <v>4</v>
      </c>
      <c r="L11" s="1">
        <f t="shared" si="36"/>
        <v>3.5</v>
      </c>
      <c r="M11" s="1">
        <f t="shared" si="36"/>
        <v>3</v>
      </c>
      <c r="N11" s="1">
        <f t="shared" si="36"/>
        <v>4</v>
      </c>
      <c r="O11" s="1">
        <f t="shared" si="36"/>
        <v>1.5</v>
      </c>
      <c r="P11" s="1"/>
      <c r="Q11" s="1">
        <f t="shared" ref="Q11:U11" si="37">AVERAGE(Q9:Q10)</f>
        <v>2</v>
      </c>
      <c r="R11" s="1">
        <f t="shared" si="37"/>
        <v>2.5</v>
      </c>
      <c r="S11" s="1">
        <f t="shared" si="37"/>
        <v>2.5</v>
      </c>
      <c r="T11" s="1">
        <f t="shared" si="37"/>
        <v>1.5</v>
      </c>
      <c r="U11" s="1">
        <f t="shared" si="37"/>
        <v>3</v>
      </c>
      <c r="V11" s="1"/>
      <c r="W11" s="1">
        <f t="shared" ref="W11:AA11" si="38">AVERAGE(W9:W10)</f>
        <v>4</v>
      </c>
      <c r="X11" s="1">
        <f t="shared" si="38"/>
        <v>2.5</v>
      </c>
      <c r="Y11" s="1">
        <f t="shared" si="38"/>
        <v>5</v>
      </c>
      <c r="Z11" s="1">
        <f t="shared" si="38"/>
        <v>4</v>
      </c>
      <c r="AA11" s="1">
        <f t="shared" si="38"/>
        <v>4</v>
      </c>
      <c r="AB11" s="1"/>
      <c r="AC11" s="1">
        <f t="shared" ref="AC11:AG11" si="39">AVERAGE(AC9:AC10)</f>
        <v>3.5</v>
      </c>
      <c r="AD11" s="1">
        <f t="shared" si="39"/>
        <v>3.5</v>
      </c>
      <c r="AE11" s="1">
        <f t="shared" si="39"/>
        <v>3.5</v>
      </c>
      <c r="AF11" s="1">
        <f t="shared" si="39"/>
        <v>1.5</v>
      </c>
      <c r="AG11" s="1">
        <f t="shared" si="39"/>
        <v>4.5</v>
      </c>
      <c r="AH11" s="1"/>
      <c r="AI11" s="1">
        <f t="shared" ref="AI11:AM11" si="40">AVERAGE(AI9:AI10)</f>
        <v>1.5</v>
      </c>
      <c r="AJ11" s="1">
        <f t="shared" si="40"/>
        <v>2</v>
      </c>
      <c r="AK11" s="1">
        <f t="shared" si="40"/>
        <v>3.5</v>
      </c>
      <c r="AL11" s="1">
        <f t="shared" si="40"/>
        <v>3.5</v>
      </c>
      <c r="AM11" s="1">
        <f t="shared" si="40"/>
        <v>4</v>
      </c>
      <c r="AN11" s="1"/>
      <c r="AO11" s="1">
        <f t="shared" ref="AO11:AS11" si="41">AVERAGE(AO9:AO10)</f>
        <v>3.5</v>
      </c>
      <c r="AP11" s="1">
        <f t="shared" si="41"/>
        <v>4</v>
      </c>
      <c r="AQ11" s="1">
        <f t="shared" si="41"/>
        <v>3</v>
      </c>
      <c r="AR11" s="1">
        <f t="shared" si="41"/>
        <v>4.5</v>
      </c>
      <c r="AS11" s="1">
        <f t="shared" si="41"/>
        <v>2.5</v>
      </c>
      <c r="AT11" s="1"/>
      <c r="AU11" s="1">
        <f t="shared" ref="AU11:AY11" si="42">AVERAGE(AU9:AU10)</f>
        <v>5</v>
      </c>
      <c r="AV11" s="1">
        <f t="shared" si="42"/>
        <v>1.5</v>
      </c>
      <c r="AW11" s="1">
        <f t="shared" si="42"/>
        <v>4.5</v>
      </c>
      <c r="AX11" s="1">
        <f t="shared" si="42"/>
        <v>1.5</v>
      </c>
      <c r="AY11" s="1">
        <f t="shared" si="42"/>
        <v>2.5</v>
      </c>
      <c r="AZ11" s="1"/>
      <c r="BA11" s="1">
        <f t="shared" ref="BA11:BE11" si="43">AVERAGE(BA9:BA10)</f>
        <v>4</v>
      </c>
      <c r="BB11" s="1">
        <f t="shared" si="43"/>
        <v>2</v>
      </c>
      <c r="BC11" s="1">
        <f t="shared" si="43"/>
        <v>5</v>
      </c>
      <c r="BD11" s="1">
        <f t="shared" si="43"/>
        <v>4</v>
      </c>
      <c r="BE11" s="1">
        <f t="shared" si="43"/>
        <v>5</v>
      </c>
      <c r="BF11" s="1"/>
      <c r="BG11" s="1">
        <f t="shared" ref="BG11:BK11" si="44">AVERAGE(BG9:BG10)</f>
        <v>3</v>
      </c>
      <c r="BH11" s="1">
        <f t="shared" si="44"/>
        <v>4</v>
      </c>
      <c r="BI11" s="1">
        <f t="shared" si="44"/>
        <v>2.5</v>
      </c>
      <c r="BJ11" s="1">
        <f t="shared" si="44"/>
        <v>2.5</v>
      </c>
      <c r="BK11" s="1">
        <f t="shared" si="44"/>
        <v>5</v>
      </c>
      <c r="BL11" s="1"/>
      <c r="BM11" s="1">
        <f t="shared" ref="BM11:BQ11" si="45">AVERAGE(BM9:BM10)</f>
        <v>2.5</v>
      </c>
      <c r="BN11" s="1">
        <f t="shared" si="45"/>
        <v>1.5</v>
      </c>
      <c r="BO11" s="1">
        <f t="shared" si="45"/>
        <v>4</v>
      </c>
      <c r="BP11" s="1">
        <f t="shared" si="45"/>
        <v>2.5</v>
      </c>
      <c r="BQ11" s="1">
        <f t="shared" si="45"/>
        <v>4</v>
      </c>
      <c r="BR11" s="1"/>
      <c r="BS11" s="1">
        <f t="shared" ref="BS11:BW11" si="46">AVERAGE(BS9:BS10)</f>
        <v>3.5</v>
      </c>
      <c r="BT11" s="1">
        <f t="shared" si="46"/>
        <v>4</v>
      </c>
      <c r="BU11" s="1">
        <f t="shared" si="46"/>
        <v>3</v>
      </c>
      <c r="BV11" s="1">
        <f t="shared" si="46"/>
        <v>3.5</v>
      </c>
      <c r="BW11" s="1">
        <f t="shared" si="46"/>
        <v>3.5</v>
      </c>
      <c r="BX11" s="1"/>
      <c r="BY11" s="1">
        <f t="shared" ref="BY11:CC11" si="47">AVERAGE(BY9:BY10)</f>
        <v>3.5</v>
      </c>
      <c r="BZ11" s="1">
        <f t="shared" si="47"/>
        <v>4</v>
      </c>
      <c r="CA11" s="1">
        <f t="shared" si="47"/>
        <v>3.5</v>
      </c>
      <c r="CB11" s="1">
        <f t="shared" si="47"/>
        <v>4.5</v>
      </c>
      <c r="CC11" s="1">
        <f t="shared" si="47"/>
        <v>3.5</v>
      </c>
      <c r="CD11" s="1"/>
      <c r="CE11" s="1">
        <f t="shared" ref="CE11:CI11" si="48">AVERAGE(CE9:CE10)</f>
        <v>2.5</v>
      </c>
      <c r="CF11" s="1">
        <f t="shared" si="48"/>
        <v>1.5</v>
      </c>
      <c r="CG11" s="1">
        <f t="shared" si="48"/>
        <v>3.5</v>
      </c>
      <c r="CH11" s="1">
        <f t="shared" si="48"/>
        <v>2.5</v>
      </c>
      <c r="CI11" s="1">
        <f t="shared" si="48"/>
        <v>3</v>
      </c>
      <c r="CJ11" s="1"/>
      <c r="CK11" s="1">
        <f t="shared" ref="CK11:CO11" si="49">AVERAGE(CK9:CK10)</f>
        <v>4</v>
      </c>
      <c r="CL11" s="1">
        <f t="shared" si="49"/>
        <v>3.5</v>
      </c>
      <c r="CM11" s="1">
        <f t="shared" si="49"/>
        <v>2.5</v>
      </c>
      <c r="CN11" s="1">
        <f t="shared" si="49"/>
        <v>2.5</v>
      </c>
      <c r="CO11" s="1">
        <f t="shared" si="49"/>
        <v>4.5</v>
      </c>
      <c r="CP11" s="1"/>
      <c r="CQ11" s="1">
        <f t="shared" ref="CQ11:CU11" si="50">AVERAGE(CQ9:CQ10)</f>
        <v>3</v>
      </c>
      <c r="CR11" s="1">
        <f t="shared" si="50"/>
        <v>3</v>
      </c>
      <c r="CS11" s="1">
        <f t="shared" si="50"/>
        <v>4</v>
      </c>
      <c r="CT11" s="1">
        <f t="shared" si="50"/>
        <v>5</v>
      </c>
      <c r="CU11" s="1">
        <f t="shared" si="50"/>
        <v>1</v>
      </c>
      <c r="CV11" s="1"/>
      <c r="CW11" s="1">
        <f t="shared" ref="CW11:DA11" si="51">AVERAGE(CW9:CW10)</f>
        <v>3.5</v>
      </c>
      <c r="CX11" s="1">
        <f t="shared" si="51"/>
        <v>3</v>
      </c>
      <c r="CY11" s="1">
        <f t="shared" si="51"/>
        <v>3</v>
      </c>
      <c r="CZ11" s="1">
        <f t="shared" si="51"/>
        <v>3</v>
      </c>
      <c r="DA11" s="1">
        <f t="shared" si="51"/>
        <v>4</v>
      </c>
      <c r="DB11" s="1"/>
      <c r="DC11" s="1">
        <f t="shared" ref="DC11:DG11" si="52">AVERAGE(DC9:DC10)</f>
        <v>3</v>
      </c>
      <c r="DD11" s="1">
        <f t="shared" si="52"/>
        <v>2</v>
      </c>
      <c r="DE11" s="1">
        <f t="shared" si="52"/>
        <v>3.5</v>
      </c>
      <c r="DF11" s="1">
        <f t="shared" si="52"/>
        <v>3.5</v>
      </c>
      <c r="DG11" s="1">
        <f t="shared" si="52"/>
        <v>4</v>
      </c>
      <c r="DH11" s="1"/>
      <c r="DI11" s="1">
        <f t="shared" ref="DI11:DM11" si="53">AVERAGE(DI9:DI10)</f>
        <v>2</v>
      </c>
      <c r="DJ11" s="1">
        <f t="shared" si="53"/>
        <v>2.5</v>
      </c>
      <c r="DK11" s="1">
        <f t="shared" si="53"/>
        <v>4.5</v>
      </c>
      <c r="DL11" s="1">
        <f t="shared" si="53"/>
        <v>2.5</v>
      </c>
      <c r="DM11" s="1">
        <f t="shared" si="53"/>
        <v>4</v>
      </c>
      <c r="DN11" s="1"/>
      <c r="DO11" s="1">
        <f t="shared" ref="DO11:DS11" si="54">AVERAGE(DO9:DO10)</f>
        <v>2.5</v>
      </c>
      <c r="DP11" s="1">
        <f t="shared" si="54"/>
        <v>2</v>
      </c>
      <c r="DQ11" s="1">
        <f t="shared" si="54"/>
        <v>5</v>
      </c>
      <c r="DR11" s="1">
        <f t="shared" si="54"/>
        <v>3.5</v>
      </c>
      <c r="DS11" s="1">
        <f t="shared" si="54"/>
        <v>2</v>
      </c>
      <c r="DT11" s="1"/>
      <c r="DU11" s="1">
        <f t="shared" ref="DU11:DY11" si="55">AVERAGE(DU9:DU10)</f>
        <v>3.5</v>
      </c>
      <c r="DV11" s="1">
        <f t="shared" si="55"/>
        <v>3</v>
      </c>
      <c r="DW11" s="1">
        <f t="shared" si="55"/>
        <v>2.5</v>
      </c>
      <c r="DX11" s="1">
        <f t="shared" si="55"/>
        <v>2.5</v>
      </c>
      <c r="DY11" s="1">
        <f t="shared" si="55"/>
        <v>2.5</v>
      </c>
      <c r="DZ11" s="1"/>
      <c r="EA11" s="1">
        <f t="shared" ref="EA11:EE11" si="56">AVERAGE(EA9:EA10)</f>
        <v>4</v>
      </c>
      <c r="EB11" s="1">
        <f t="shared" si="56"/>
        <v>2</v>
      </c>
      <c r="EC11" s="1">
        <f t="shared" si="56"/>
        <v>4.5</v>
      </c>
      <c r="ED11" s="1">
        <f t="shared" si="56"/>
        <v>2.5</v>
      </c>
      <c r="EE11" s="1">
        <f t="shared" si="56"/>
        <v>3.5</v>
      </c>
      <c r="EF11" s="1"/>
      <c r="EG11" s="1">
        <f t="shared" ref="EG11:EK11" si="57">AVERAGE(EG9:EG10)</f>
        <v>4</v>
      </c>
      <c r="EH11" s="1">
        <f t="shared" si="57"/>
        <v>3.5</v>
      </c>
      <c r="EI11" s="1">
        <f t="shared" si="57"/>
        <v>4</v>
      </c>
      <c r="EJ11" s="1">
        <f t="shared" si="57"/>
        <v>3.5</v>
      </c>
      <c r="EK11" s="1">
        <f t="shared" si="57"/>
        <v>3.5</v>
      </c>
      <c r="EL11" s="1"/>
      <c r="EM11" s="1">
        <f t="shared" ref="EM11:EQ11" si="58">AVERAGE(EM9:EM10)</f>
        <v>4.5</v>
      </c>
      <c r="EN11" s="1">
        <f t="shared" si="58"/>
        <v>3.5</v>
      </c>
      <c r="EO11" s="1">
        <f t="shared" si="58"/>
        <v>4</v>
      </c>
      <c r="EP11" s="1">
        <f t="shared" si="58"/>
        <v>2.5</v>
      </c>
      <c r="EQ11" s="1">
        <f t="shared" si="58"/>
        <v>2.5</v>
      </c>
      <c r="ER11" s="1"/>
      <c r="ES11" s="1">
        <f t="shared" ref="ES11:EW11" si="59">AVERAGE(ES9:ES10)</f>
        <v>2.5</v>
      </c>
      <c r="ET11" s="1">
        <f t="shared" si="59"/>
        <v>2</v>
      </c>
      <c r="EU11" s="1">
        <f t="shared" si="59"/>
        <v>3</v>
      </c>
      <c r="EV11" s="1">
        <f t="shared" si="59"/>
        <v>3.5</v>
      </c>
      <c r="EW11" s="1">
        <f t="shared" si="59"/>
        <v>4.5</v>
      </c>
      <c r="EX11" s="1"/>
      <c r="EY11" s="1">
        <f t="shared" ref="EY11:FC11" si="60">AVERAGE(EY9:EY10)</f>
        <v>4.5</v>
      </c>
      <c r="EZ11" s="1">
        <f t="shared" si="60"/>
        <v>2</v>
      </c>
      <c r="FA11" s="1">
        <f t="shared" si="60"/>
        <v>3</v>
      </c>
      <c r="FB11" s="1">
        <f t="shared" si="60"/>
        <v>2.5</v>
      </c>
      <c r="FC11" s="1">
        <f t="shared" si="60"/>
        <v>2</v>
      </c>
      <c r="FD11" s="1"/>
      <c r="FE11" s="1">
        <f t="shared" ref="FE11:FI11" si="61">AVERAGE(FE9:FE10)</f>
        <v>3.5</v>
      </c>
      <c r="FF11" s="1">
        <f t="shared" si="61"/>
        <v>1.5</v>
      </c>
      <c r="FG11" s="1">
        <f t="shared" si="61"/>
        <v>4</v>
      </c>
      <c r="FH11" s="1">
        <f t="shared" si="61"/>
        <v>3</v>
      </c>
      <c r="FI11" s="1">
        <f t="shared" si="61"/>
        <v>3</v>
      </c>
      <c r="FJ11" s="1"/>
      <c r="FK11" s="1">
        <f t="shared" ref="FK11:FO11" si="62">AVERAGE(FK9:FK10)</f>
        <v>3.5</v>
      </c>
      <c r="FL11" s="1">
        <f t="shared" si="62"/>
        <v>2.5</v>
      </c>
      <c r="FM11" s="1">
        <f t="shared" si="62"/>
        <v>2.5</v>
      </c>
      <c r="FN11" s="1">
        <f t="shared" si="62"/>
        <v>3</v>
      </c>
      <c r="FO11" s="1">
        <f t="shared" si="62"/>
        <v>2</v>
      </c>
      <c r="FP11" s="1"/>
      <c r="FQ11" s="1">
        <f t="shared" ref="FQ11:FU11" si="63">AVERAGE(FQ9:FQ10)</f>
        <v>1.5</v>
      </c>
      <c r="FR11" s="1">
        <f t="shared" si="63"/>
        <v>2</v>
      </c>
      <c r="FS11" s="1">
        <f t="shared" si="63"/>
        <v>3</v>
      </c>
      <c r="FT11" s="1">
        <f t="shared" si="63"/>
        <v>2.5</v>
      </c>
      <c r="FU11" s="1">
        <f t="shared" si="63"/>
        <v>4</v>
      </c>
      <c r="FV11" s="1"/>
      <c r="FW11" s="1">
        <f t="shared" ref="FW11:GA11" si="64">AVERAGE(FW9:FW10)</f>
        <v>2</v>
      </c>
      <c r="FX11" s="1">
        <f t="shared" si="64"/>
        <v>3</v>
      </c>
      <c r="FY11" s="1">
        <f t="shared" si="64"/>
        <v>2.5</v>
      </c>
      <c r="FZ11" s="1">
        <f t="shared" si="64"/>
        <v>2</v>
      </c>
      <c r="GA11" s="1">
        <f t="shared" si="64"/>
        <v>4</v>
      </c>
      <c r="GB11" s="1"/>
      <c r="GC11" s="1">
        <f t="shared" ref="GC11:GG11" si="65">AVERAGE(GC9:GC10)</f>
        <v>2</v>
      </c>
      <c r="GD11" s="1">
        <f t="shared" si="65"/>
        <v>1.5</v>
      </c>
      <c r="GE11" s="1">
        <f t="shared" si="65"/>
        <v>2.5</v>
      </c>
      <c r="GF11" s="1">
        <f t="shared" si="65"/>
        <v>2.5</v>
      </c>
      <c r="GG11" s="1">
        <f t="shared" si="65"/>
        <v>1</v>
      </c>
      <c r="GH11" s="1"/>
      <c r="GI11" s="1">
        <f t="shared" ref="GI11:GM11" si="66">AVERAGE(GI9:GI10)</f>
        <v>4.5</v>
      </c>
      <c r="GJ11" s="1">
        <f t="shared" si="66"/>
        <v>4.5</v>
      </c>
      <c r="GK11" s="1">
        <f t="shared" si="66"/>
        <v>4</v>
      </c>
      <c r="GL11" s="1">
        <f t="shared" si="66"/>
        <v>3.5</v>
      </c>
      <c r="GM11" s="1">
        <f t="shared" si="66"/>
        <v>2</v>
      </c>
      <c r="GN11" s="1"/>
      <c r="GO11" s="1">
        <f t="shared" ref="GO11:GS11" si="67">AVERAGE(GO9:GO10)</f>
        <v>3</v>
      </c>
      <c r="GP11" s="1">
        <f t="shared" si="67"/>
        <v>4</v>
      </c>
      <c r="GQ11" s="1">
        <f t="shared" si="67"/>
        <v>3</v>
      </c>
      <c r="GR11" s="1">
        <f t="shared" si="67"/>
        <v>3.5</v>
      </c>
      <c r="GS11" s="1">
        <f t="shared" si="67"/>
        <v>2.5</v>
      </c>
      <c r="GT11" s="1"/>
      <c r="GU11" s="1">
        <f t="shared" ref="GU11:GY11" si="68">AVERAGE(GU9:GU10)</f>
        <v>4</v>
      </c>
      <c r="GV11" s="1">
        <f t="shared" si="68"/>
        <v>2.5</v>
      </c>
      <c r="GW11" s="1">
        <f t="shared" si="68"/>
        <v>3</v>
      </c>
      <c r="GX11" s="1">
        <f t="shared" si="68"/>
        <v>4.5</v>
      </c>
      <c r="GY11" s="1">
        <f t="shared" si="68"/>
        <v>3</v>
      </c>
      <c r="GZ11" s="1"/>
      <c r="HA11" s="1">
        <f t="shared" ref="HA11:HE11" si="69">AVERAGE(HA9:HA10)</f>
        <v>4</v>
      </c>
      <c r="HB11" s="1">
        <f t="shared" si="69"/>
        <v>3</v>
      </c>
      <c r="HC11" s="1">
        <f t="shared" si="69"/>
        <v>3</v>
      </c>
      <c r="HD11" s="1">
        <f t="shared" si="69"/>
        <v>4.5</v>
      </c>
      <c r="HE11" s="1">
        <f t="shared" si="69"/>
        <v>4.5</v>
      </c>
    </row>
    <row r="12" spans="1:213" x14ac:dyDescent="0.25"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</row>
    <row r="13" spans="1:213" x14ac:dyDescent="0.25">
      <c r="A13" t="s">
        <v>188</v>
      </c>
      <c r="B13" t="s">
        <v>189</v>
      </c>
      <c r="C13">
        <v>5511</v>
      </c>
      <c r="E13" s="1">
        <v>3</v>
      </c>
      <c r="F13" s="1">
        <v>2</v>
      </c>
      <c r="G13" s="1">
        <v>4</v>
      </c>
      <c r="H13" s="1">
        <v>4</v>
      </c>
      <c r="I13" s="1">
        <v>2</v>
      </c>
      <c r="J13" s="1"/>
      <c r="K13" s="1">
        <v>4</v>
      </c>
      <c r="L13" s="1">
        <v>4</v>
      </c>
      <c r="M13" s="1">
        <v>4</v>
      </c>
      <c r="N13" s="1">
        <v>5</v>
      </c>
      <c r="O13" s="1">
        <v>1</v>
      </c>
      <c r="P13" s="1"/>
      <c r="Q13" s="1">
        <v>3</v>
      </c>
      <c r="R13" s="1">
        <v>3</v>
      </c>
      <c r="S13" s="1">
        <v>3</v>
      </c>
      <c r="T13" s="1">
        <v>2</v>
      </c>
      <c r="U13" s="1">
        <v>4</v>
      </c>
      <c r="V13" s="1"/>
      <c r="W13" s="1">
        <v>4</v>
      </c>
      <c r="X13" s="1">
        <v>4</v>
      </c>
      <c r="Y13" s="1">
        <v>4</v>
      </c>
      <c r="Z13" s="1">
        <v>4</v>
      </c>
      <c r="AA13" s="1">
        <v>3</v>
      </c>
      <c r="AB13" s="1"/>
      <c r="AC13" s="1">
        <v>4</v>
      </c>
      <c r="AD13" s="1">
        <v>3</v>
      </c>
      <c r="AE13" s="1">
        <v>4</v>
      </c>
      <c r="AF13" s="1">
        <v>3</v>
      </c>
      <c r="AG13" s="1">
        <v>4</v>
      </c>
      <c r="AH13" s="1"/>
      <c r="AI13" s="1">
        <v>1</v>
      </c>
      <c r="AJ13" s="1">
        <v>1</v>
      </c>
      <c r="AK13" s="1">
        <v>4</v>
      </c>
      <c r="AL13" s="1">
        <v>5</v>
      </c>
      <c r="AM13" s="1">
        <v>4</v>
      </c>
      <c r="AN13" s="1"/>
      <c r="AO13" s="1">
        <v>3</v>
      </c>
      <c r="AP13" s="1">
        <v>4</v>
      </c>
      <c r="AQ13" s="1">
        <v>2</v>
      </c>
      <c r="AR13" s="1">
        <v>5</v>
      </c>
      <c r="AS13" s="1">
        <v>2</v>
      </c>
      <c r="AT13" s="1"/>
      <c r="AU13" s="1">
        <v>4</v>
      </c>
      <c r="AV13" s="1">
        <v>2</v>
      </c>
      <c r="AW13" s="1">
        <v>2</v>
      </c>
      <c r="AX13" s="1">
        <v>2</v>
      </c>
      <c r="AY13" s="1">
        <v>3</v>
      </c>
      <c r="AZ13" s="1"/>
      <c r="BA13" s="1">
        <v>3</v>
      </c>
      <c r="BB13" s="1">
        <v>1</v>
      </c>
      <c r="BC13" s="1">
        <v>4</v>
      </c>
      <c r="BD13" s="1">
        <v>3</v>
      </c>
      <c r="BE13" s="1">
        <v>4</v>
      </c>
      <c r="BF13" s="1"/>
      <c r="BG13" s="1">
        <v>2</v>
      </c>
      <c r="BH13" s="1">
        <v>3</v>
      </c>
      <c r="BI13" s="1">
        <v>3</v>
      </c>
      <c r="BJ13" s="1">
        <v>1</v>
      </c>
      <c r="BK13" s="1">
        <v>3</v>
      </c>
      <c r="BL13" s="1"/>
      <c r="BM13" s="1">
        <v>3</v>
      </c>
      <c r="BN13" s="1">
        <v>1</v>
      </c>
      <c r="BO13" s="1">
        <v>5</v>
      </c>
      <c r="BP13" s="1">
        <v>4</v>
      </c>
      <c r="BQ13" s="1">
        <v>4</v>
      </c>
      <c r="BR13" s="1"/>
      <c r="BS13" s="1">
        <v>3</v>
      </c>
      <c r="BT13" s="1">
        <v>3</v>
      </c>
      <c r="BU13" s="1">
        <v>4</v>
      </c>
      <c r="BV13" s="1">
        <v>4</v>
      </c>
      <c r="BW13" s="1">
        <v>2</v>
      </c>
      <c r="BX13" s="1"/>
      <c r="BY13" s="1">
        <v>3</v>
      </c>
      <c r="BZ13" s="1">
        <v>4</v>
      </c>
      <c r="CA13" s="1">
        <v>2</v>
      </c>
      <c r="CB13" s="1">
        <v>2</v>
      </c>
      <c r="CC13" s="1">
        <v>4</v>
      </c>
      <c r="CD13" s="1"/>
      <c r="CE13" s="1">
        <v>3</v>
      </c>
      <c r="CF13" s="1">
        <v>3</v>
      </c>
      <c r="CG13" s="1">
        <v>4</v>
      </c>
      <c r="CH13" s="1">
        <v>1</v>
      </c>
      <c r="CI13" s="1">
        <v>4</v>
      </c>
      <c r="CJ13" s="1"/>
      <c r="CK13" s="1">
        <v>3</v>
      </c>
      <c r="CL13" s="1">
        <v>3</v>
      </c>
      <c r="CM13" s="1">
        <v>2</v>
      </c>
      <c r="CN13" s="1">
        <v>1</v>
      </c>
      <c r="CO13" s="1">
        <v>5</v>
      </c>
      <c r="CP13" s="1"/>
      <c r="CQ13" s="1">
        <v>2</v>
      </c>
      <c r="CR13" s="1">
        <v>2</v>
      </c>
      <c r="CS13" s="1">
        <v>2</v>
      </c>
      <c r="CT13" s="1">
        <v>3</v>
      </c>
      <c r="CU13" s="1">
        <v>2</v>
      </c>
      <c r="CV13" s="1"/>
      <c r="CW13" s="1">
        <v>4</v>
      </c>
      <c r="CX13" s="1">
        <v>1</v>
      </c>
      <c r="CY13" s="1">
        <v>2</v>
      </c>
      <c r="CZ13" s="1">
        <v>3</v>
      </c>
      <c r="DA13" s="1">
        <v>2</v>
      </c>
      <c r="DB13" s="1"/>
      <c r="DC13" s="1">
        <v>2</v>
      </c>
      <c r="DD13" s="1">
        <v>4</v>
      </c>
      <c r="DE13" s="1">
        <v>2</v>
      </c>
      <c r="DF13" s="1">
        <v>3</v>
      </c>
      <c r="DG13" s="1">
        <v>3</v>
      </c>
      <c r="DH13" s="1"/>
      <c r="DI13" s="1">
        <v>1</v>
      </c>
      <c r="DJ13" s="1">
        <v>2</v>
      </c>
      <c r="DK13" s="1">
        <v>2</v>
      </c>
      <c r="DL13" s="1">
        <v>1</v>
      </c>
      <c r="DM13" s="1">
        <v>4</v>
      </c>
      <c r="DN13" s="1"/>
      <c r="DO13" s="1">
        <v>2</v>
      </c>
      <c r="DP13" s="1">
        <v>3</v>
      </c>
      <c r="DQ13" s="1">
        <v>3</v>
      </c>
      <c r="DR13" s="1">
        <v>1</v>
      </c>
      <c r="DS13" s="1">
        <v>3</v>
      </c>
      <c r="DT13" s="1"/>
      <c r="DU13" s="1">
        <v>3</v>
      </c>
      <c r="DV13" s="1">
        <v>4</v>
      </c>
      <c r="DW13" s="1">
        <v>5</v>
      </c>
      <c r="DX13" s="1">
        <v>4</v>
      </c>
      <c r="DY13" s="1">
        <v>4</v>
      </c>
      <c r="DZ13" s="1"/>
      <c r="EA13" s="1">
        <v>4</v>
      </c>
      <c r="EB13" s="1">
        <v>1</v>
      </c>
      <c r="EC13" s="1">
        <v>1</v>
      </c>
      <c r="ED13" s="1">
        <v>1</v>
      </c>
      <c r="EE13" s="1">
        <v>4</v>
      </c>
      <c r="EF13" s="1"/>
      <c r="EG13" s="1">
        <v>3</v>
      </c>
      <c r="EH13" s="1">
        <v>1</v>
      </c>
      <c r="EI13" s="1">
        <v>5</v>
      </c>
      <c r="EJ13" s="1">
        <v>3</v>
      </c>
      <c r="EK13" s="1">
        <v>4</v>
      </c>
      <c r="EL13" s="1"/>
      <c r="EM13" s="1">
        <v>4</v>
      </c>
      <c r="EN13" s="1">
        <v>2</v>
      </c>
      <c r="EO13" s="1">
        <v>4</v>
      </c>
      <c r="EP13" s="1">
        <v>1</v>
      </c>
      <c r="EQ13" s="1">
        <v>3</v>
      </c>
      <c r="ER13" s="1"/>
      <c r="ES13" s="1">
        <v>2</v>
      </c>
      <c r="ET13" s="1">
        <v>1</v>
      </c>
      <c r="EU13" s="1">
        <v>4</v>
      </c>
      <c r="EV13" s="1">
        <v>3</v>
      </c>
      <c r="EW13" s="1">
        <v>3</v>
      </c>
      <c r="EX13" s="1"/>
      <c r="EY13" s="1">
        <v>4</v>
      </c>
      <c r="EZ13" s="1">
        <v>2</v>
      </c>
      <c r="FA13" s="1">
        <v>2</v>
      </c>
      <c r="FB13" s="1">
        <v>3</v>
      </c>
      <c r="FC13" s="1">
        <v>2</v>
      </c>
      <c r="FD13" s="1"/>
      <c r="FE13" s="1">
        <v>2</v>
      </c>
      <c r="FF13" s="1">
        <v>1</v>
      </c>
      <c r="FG13" s="1">
        <v>3</v>
      </c>
      <c r="FH13" s="1">
        <v>4</v>
      </c>
      <c r="FI13" s="1">
        <v>2</v>
      </c>
      <c r="FJ13" s="1"/>
      <c r="FK13" s="1">
        <v>4</v>
      </c>
      <c r="FL13" s="1">
        <v>2</v>
      </c>
      <c r="FM13" s="1">
        <v>4</v>
      </c>
      <c r="FN13" s="1">
        <v>4</v>
      </c>
      <c r="FO13" s="1">
        <v>4</v>
      </c>
      <c r="FP13" s="1"/>
      <c r="FQ13" s="1">
        <v>4</v>
      </c>
      <c r="FR13" s="1">
        <v>3</v>
      </c>
      <c r="FS13" s="1">
        <v>4</v>
      </c>
      <c r="FT13" s="1">
        <v>4</v>
      </c>
      <c r="FU13" s="1">
        <v>1</v>
      </c>
      <c r="FV13" s="1"/>
      <c r="FW13" s="1">
        <v>4</v>
      </c>
      <c r="FX13" s="1">
        <v>1</v>
      </c>
      <c r="FY13" s="1">
        <v>4</v>
      </c>
      <c r="FZ13" s="1">
        <v>1</v>
      </c>
      <c r="GA13" s="1">
        <v>5</v>
      </c>
      <c r="GB13" s="1"/>
      <c r="GC13" s="1">
        <v>3</v>
      </c>
      <c r="GD13" s="1">
        <v>3</v>
      </c>
      <c r="GE13" s="1">
        <v>2</v>
      </c>
      <c r="GF13" s="1">
        <v>2</v>
      </c>
      <c r="GG13" s="1">
        <v>1</v>
      </c>
      <c r="GH13" s="1"/>
      <c r="GI13" s="1">
        <v>3</v>
      </c>
      <c r="GJ13" s="1">
        <v>3</v>
      </c>
      <c r="GK13" s="1">
        <v>3</v>
      </c>
      <c r="GL13" s="1">
        <v>4</v>
      </c>
      <c r="GM13" s="1">
        <v>3</v>
      </c>
      <c r="GN13" s="1"/>
      <c r="GO13" s="1">
        <v>3</v>
      </c>
      <c r="GP13" s="1">
        <v>2</v>
      </c>
      <c r="GQ13" s="1">
        <v>4</v>
      </c>
      <c r="GR13" s="1">
        <v>2</v>
      </c>
      <c r="GS13" s="1">
        <v>3</v>
      </c>
      <c r="GT13" s="1"/>
      <c r="GU13" s="1">
        <v>3</v>
      </c>
      <c r="GV13" s="1">
        <v>3</v>
      </c>
      <c r="GW13" s="1">
        <v>4</v>
      </c>
      <c r="GX13" s="1">
        <v>3</v>
      </c>
      <c r="GY13" s="1">
        <v>1</v>
      </c>
      <c r="GZ13" s="1"/>
      <c r="HA13" s="1">
        <v>3</v>
      </c>
      <c r="HB13" s="1">
        <v>2</v>
      </c>
      <c r="HC13" s="1">
        <v>4</v>
      </c>
      <c r="HD13" s="1">
        <v>4</v>
      </c>
      <c r="HE13" s="1">
        <v>5</v>
      </c>
    </row>
    <row r="14" spans="1:213" x14ac:dyDescent="0.25">
      <c r="A14" t="s">
        <v>190</v>
      </c>
      <c r="B14" t="s">
        <v>189</v>
      </c>
      <c r="C14">
        <v>60081</v>
      </c>
      <c r="E14" s="1">
        <v>3</v>
      </c>
      <c r="F14" s="1">
        <v>3</v>
      </c>
      <c r="G14" s="1">
        <v>3</v>
      </c>
      <c r="H14" s="1">
        <v>3</v>
      </c>
      <c r="I14" s="1">
        <v>2</v>
      </c>
      <c r="J14" s="1"/>
      <c r="K14" s="1">
        <v>4</v>
      </c>
      <c r="L14" s="1">
        <v>4</v>
      </c>
      <c r="M14" s="1">
        <v>3</v>
      </c>
      <c r="N14" s="1">
        <v>4</v>
      </c>
      <c r="O14" s="1">
        <v>3</v>
      </c>
      <c r="P14" s="1"/>
      <c r="Q14" s="1">
        <v>3</v>
      </c>
      <c r="R14" s="1">
        <v>3</v>
      </c>
      <c r="S14" s="1">
        <v>3</v>
      </c>
      <c r="T14" s="1">
        <v>2</v>
      </c>
      <c r="U14" s="1">
        <v>3</v>
      </c>
      <c r="V14" s="1"/>
      <c r="W14" s="1">
        <v>4</v>
      </c>
      <c r="X14" s="1">
        <v>3</v>
      </c>
      <c r="Y14" s="1">
        <v>4</v>
      </c>
      <c r="Z14" s="1">
        <v>3</v>
      </c>
      <c r="AA14" s="1">
        <v>4</v>
      </c>
      <c r="AB14" s="1"/>
      <c r="AC14" s="1">
        <v>3</v>
      </c>
      <c r="AD14" s="1">
        <v>3</v>
      </c>
      <c r="AE14" s="1">
        <v>4</v>
      </c>
      <c r="AF14" s="1">
        <v>1</v>
      </c>
      <c r="AG14" s="1">
        <v>4</v>
      </c>
      <c r="AH14" s="1"/>
      <c r="AI14" s="1">
        <v>1</v>
      </c>
      <c r="AJ14" s="1">
        <v>1</v>
      </c>
      <c r="AK14" s="1">
        <v>3</v>
      </c>
      <c r="AL14" s="1">
        <v>4</v>
      </c>
      <c r="AM14" s="1">
        <v>4</v>
      </c>
      <c r="AN14" s="1"/>
      <c r="AO14" s="1">
        <v>3</v>
      </c>
      <c r="AP14" s="1">
        <v>3</v>
      </c>
      <c r="AQ14" s="1">
        <v>3</v>
      </c>
      <c r="AR14" s="1">
        <v>4</v>
      </c>
      <c r="AS14" s="1">
        <v>3</v>
      </c>
      <c r="AT14" s="1"/>
      <c r="AU14" s="1">
        <v>4</v>
      </c>
      <c r="AV14" s="1">
        <v>2</v>
      </c>
      <c r="AW14" s="1">
        <v>3</v>
      </c>
      <c r="AX14" s="1">
        <v>3</v>
      </c>
      <c r="AY14" s="1">
        <v>1</v>
      </c>
      <c r="AZ14" s="1"/>
      <c r="BA14" s="1">
        <v>3</v>
      </c>
      <c r="BB14" s="1">
        <v>3</v>
      </c>
      <c r="BC14" s="1">
        <v>3</v>
      </c>
      <c r="BD14" s="1">
        <v>3</v>
      </c>
      <c r="BE14" s="1">
        <v>4</v>
      </c>
      <c r="BF14" s="1"/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/>
      <c r="BM14" s="1">
        <v>3</v>
      </c>
      <c r="BN14" s="1">
        <v>3</v>
      </c>
      <c r="BO14" s="1">
        <v>3</v>
      </c>
      <c r="BP14" s="1">
        <v>1</v>
      </c>
      <c r="BQ14" s="1">
        <v>1</v>
      </c>
      <c r="BR14" s="1"/>
      <c r="BS14" s="1">
        <v>3</v>
      </c>
      <c r="BT14" s="1">
        <v>3</v>
      </c>
      <c r="BU14" s="1">
        <v>4</v>
      </c>
      <c r="BV14" s="1">
        <v>4</v>
      </c>
      <c r="BW14" s="1">
        <v>3</v>
      </c>
      <c r="BX14" s="1"/>
      <c r="BY14" s="1">
        <v>3</v>
      </c>
      <c r="BZ14" s="1">
        <v>3</v>
      </c>
      <c r="CA14" s="1">
        <v>3</v>
      </c>
      <c r="CB14" s="1">
        <v>2</v>
      </c>
      <c r="CC14" s="1">
        <v>2</v>
      </c>
      <c r="CD14" s="1"/>
      <c r="CE14" s="1">
        <v>3</v>
      </c>
      <c r="CF14" s="1">
        <v>3</v>
      </c>
      <c r="CG14" s="1">
        <v>3</v>
      </c>
      <c r="CH14" s="1">
        <v>3</v>
      </c>
      <c r="CI14" s="1">
        <v>5</v>
      </c>
      <c r="CJ14" s="1"/>
      <c r="CK14" s="1">
        <v>2</v>
      </c>
      <c r="CL14" s="1">
        <v>3</v>
      </c>
      <c r="CM14" s="1">
        <v>2</v>
      </c>
      <c r="CN14" s="1">
        <v>2</v>
      </c>
      <c r="CO14" s="1">
        <v>3</v>
      </c>
      <c r="CP14" s="1"/>
      <c r="CQ14" s="1">
        <v>2</v>
      </c>
      <c r="CR14" s="1">
        <v>2</v>
      </c>
      <c r="CS14" s="1">
        <v>3</v>
      </c>
      <c r="CT14" s="1">
        <v>3</v>
      </c>
      <c r="CU14" s="1">
        <v>1</v>
      </c>
      <c r="CV14" s="1"/>
      <c r="CW14" s="1">
        <v>3</v>
      </c>
      <c r="CX14" s="1">
        <v>2</v>
      </c>
      <c r="CY14" s="1">
        <v>3</v>
      </c>
      <c r="CZ14" s="1">
        <v>2</v>
      </c>
      <c r="DA14" s="1">
        <v>4</v>
      </c>
      <c r="DB14" s="1"/>
      <c r="DC14" s="1">
        <v>4</v>
      </c>
      <c r="DD14" s="1">
        <v>4</v>
      </c>
      <c r="DE14" s="1">
        <v>4</v>
      </c>
      <c r="DF14" s="1">
        <v>3</v>
      </c>
      <c r="DG14" s="1">
        <v>3</v>
      </c>
      <c r="DH14" s="1"/>
      <c r="DI14" s="1">
        <v>3</v>
      </c>
      <c r="DJ14" s="1">
        <v>2</v>
      </c>
      <c r="DK14" s="1">
        <v>3</v>
      </c>
      <c r="DL14" s="1">
        <v>1</v>
      </c>
      <c r="DM14" s="1">
        <v>5</v>
      </c>
      <c r="DN14" s="1"/>
      <c r="DO14" s="1">
        <v>1</v>
      </c>
      <c r="DP14" s="1">
        <v>3</v>
      </c>
      <c r="DQ14" s="1">
        <v>3</v>
      </c>
      <c r="DR14" s="1">
        <v>3</v>
      </c>
      <c r="DS14" s="1">
        <v>3</v>
      </c>
      <c r="DT14" s="1"/>
      <c r="DU14" s="1">
        <v>3</v>
      </c>
      <c r="DV14" s="1">
        <v>4</v>
      </c>
      <c r="DW14" s="1">
        <v>5</v>
      </c>
      <c r="DX14" s="1">
        <v>5</v>
      </c>
      <c r="DY14" s="1">
        <v>4</v>
      </c>
      <c r="DZ14" s="1"/>
      <c r="EA14" s="1">
        <v>4</v>
      </c>
      <c r="EB14" s="1">
        <v>2</v>
      </c>
      <c r="EC14" s="1">
        <v>4</v>
      </c>
      <c r="ED14" s="1">
        <v>2</v>
      </c>
      <c r="EE14" s="1">
        <v>3</v>
      </c>
      <c r="EF14" s="1"/>
      <c r="EG14" s="1">
        <v>3</v>
      </c>
      <c r="EH14" s="1">
        <v>3</v>
      </c>
      <c r="EI14" s="1">
        <v>3</v>
      </c>
      <c r="EJ14" s="1">
        <v>4</v>
      </c>
      <c r="EK14" s="1">
        <v>5</v>
      </c>
      <c r="EL14" s="1"/>
      <c r="EM14" s="1">
        <v>4</v>
      </c>
      <c r="EN14" s="1">
        <v>3</v>
      </c>
      <c r="EO14" s="1">
        <v>4</v>
      </c>
      <c r="EP14" s="1">
        <v>2</v>
      </c>
      <c r="EQ14" s="1">
        <v>4</v>
      </c>
      <c r="ER14" s="1"/>
      <c r="ES14" s="1">
        <v>2</v>
      </c>
      <c r="ET14" s="1">
        <v>2</v>
      </c>
      <c r="EU14" s="1">
        <v>3</v>
      </c>
      <c r="EV14" s="1">
        <v>3</v>
      </c>
      <c r="EW14" s="1">
        <v>3</v>
      </c>
      <c r="EX14" s="1"/>
      <c r="EY14" s="1">
        <v>4</v>
      </c>
      <c r="EZ14" s="1">
        <v>3</v>
      </c>
      <c r="FA14" s="1">
        <v>3</v>
      </c>
      <c r="FB14" s="1">
        <v>2</v>
      </c>
      <c r="FC14" s="1">
        <v>5</v>
      </c>
      <c r="FD14" s="1"/>
      <c r="FE14" s="1">
        <v>2</v>
      </c>
      <c r="FF14" s="1">
        <v>1</v>
      </c>
      <c r="FG14" s="1">
        <v>2</v>
      </c>
      <c r="FH14" s="1">
        <v>2</v>
      </c>
      <c r="FI14" s="1">
        <v>3</v>
      </c>
      <c r="FJ14" s="1"/>
      <c r="FK14" s="1">
        <v>4</v>
      </c>
      <c r="FL14" s="1">
        <v>2</v>
      </c>
      <c r="FM14" s="1">
        <v>4</v>
      </c>
      <c r="FN14" s="1">
        <v>3</v>
      </c>
      <c r="FO14" s="1">
        <v>4</v>
      </c>
      <c r="FP14" s="1"/>
      <c r="FQ14" s="1">
        <v>3</v>
      </c>
      <c r="FR14" s="1">
        <v>2</v>
      </c>
      <c r="FS14" s="1">
        <v>3</v>
      </c>
      <c r="FT14" s="1">
        <v>2</v>
      </c>
      <c r="FU14" s="1">
        <v>5</v>
      </c>
      <c r="FV14" s="1"/>
      <c r="FW14" s="1">
        <v>2</v>
      </c>
      <c r="FX14" s="1">
        <v>2</v>
      </c>
      <c r="FY14" s="1">
        <v>4</v>
      </c>
      <c r="FZ14" s="1">
        <v>3</v>
      </c>
      <c r="GA14" s="1">
        <v>4</v>
      </c>
      <c r="GB14" s="1"/>
      <c r="GC14" s="1">
        <v>4</v>
      </c>
      <c r="GD14" s="1">
        <v>3</v>
      </c>
      <c r="GE14" s="1">
        <v>3</v>
      </c>
      <c r="GF14" s="1">
        <v>3</v>
      </c>
      <c r="GG14" s="1">
        <v>1</v>
      </c>
      <c r="GH14" s="1"/>
      <c r="GI14" s="1">
        <v>4</v>
      </c>
      <c r="GJ14" s="1">
        <v>2</v>
      </c>
      <c r="GK14" s="1">
        <v>4</v>
      </c>
      <c r="GL14" s="1">
        <v>3</v>
      </c>
      <c r="GM14" s="1">
        <v>2</v>
      </c>
      <c r="GN14" s="1"/>
      <c r="GO14" s="1">
        <v>3</v>
      </c>
      <c r="GP14" s="1">
        <v>3</v>
      </c>
      <c r="GQ14" s="1">
        <v>3</v>
      </c>
      <c r="GR14" s="1">
        <v>3</v>
      </c>
      <c r="GS14" s="1">
        <v>3</v>
      </c>
      <c r="GT14" s="1"/>
      <c r="GU14" s="1">
        <v>3</v>
      </c>
      <c r="GV14" s="1">
        <v>2</v>
      </c>
      <c r="GW14" s="1">
        <v>3</v>
      </c>
      <c r="GX14" s="1">
        <v>3</v>
      </c>
      <c r="GY14" s="1">
        <v>1</v>
      </c>
      <c r="GZ14" s="1"/>
      <c r="HA14" s="1">
        <v>3</v>
      </c>
      <c r="HB14" s="1">
        <v>3</v>
      </c>
      <c r="HC14" s="1">
        <v>1</v>
      </c>
      <c r="HD14" s="1">
        <v>3</v>
      </c>
      <c r="HE14" s="1">
        <v>4</v>
      </c>
    </row>
    <row r="15" spans="1:213" x14ac:dyDescent="0.25">
      <c r="A15" t="s">
        <v>184</v>
      </c>
      <c r="E15" s="1">
        <f t="shared" ref="E15:I15" si="70">AVERAGE(E13:E14)</f>
        <v>3</v>
      </c>
      <c r="F15" s="1">
        <f t="shared" si="70"/>
        <v>2.5</v>
      </c>
      <c r="G15" s="1">
        <f t="shared" si="70"/>
        <v>3.5</v>
      </c>
      <c r="H15" s="1">
        <f t="shared" si="70"/>
        <v>3.5</v>
      </c>
      <c r="I15" s="1">
        <f t="shared" si="70"/>
        <v>2</v>
      </c>
      <c r="J15" s="1"/>
      <c r="K15" s="1">
        <f t="shared" ref="K15:O15" si="71">AVERAGE(K13:K14)</f>
        <v>4</v>
      </c>
      <c r="L15" s="1">
        <f t="shared" si="71"/>
        <v>4</v>
      </c>
      <c r="M15" s="1">
        <f t="shared" si="71"/>
        <v>3.5</v>
      </c>
      <c r="N15" s="1">
        <f t="shared" si="71"/>
        <v>4.5</v>
      </c>
      <c r="O15" s="1">
        <f t="shared" si="71"/>
        <v>2</v>
      </c>
      <c r="P15" s="1"/>
      <c r="Q15" s="1">
        <f t="shared" ref="Q15:U15" si="72">AVERAGE(Q13:Q14)</f>
        <v>3</v>
      </c>
      <c r="R15" s="1">
        <f t="shared" si="72"/>
        <v>3</v>
      </c>
      <c r="S15" s="1">
        <f t="shared" si="72"/>
        <v>3</v>
      </c>
      <c r="T15" s="1">
        <f t="shared" si="72"/>
        <v>2</v>
      </c>
      <c r="U15" s="1">
        <f t="shared" si="72"/>
        <v>3.5</v>
      </c>
      <c r="V15" s="1"/>
      <c r="W15" s="1">
        <f t="shared" ref="W15:AA15" si="73">AVERAGE(W13:W14)</f>
        <v>4</v>
      </c>
      <c r="X15" s="1">
        <f t="shared" si="73"/>
        <v>3.5</v>
      </c>
      <c r="Y15" s="1">
        <f t="shared" si="73"/>
        <v>4</v>
      </c>
      <c r="Z15" s="1">
        <f t="shared" si="73"/>
        <v>3.5</v>
      </c>
      <c r="AA15" s="1">
        <f t="shared" si="73"/>
        <v>3.5</v>
      </c>
      <c r="AB15" s="1"/>
      <c r="AC15" s="1">
        <f t="shared" ref="AC15:AG15" si="74">AVERAGE(AC13:AC14)</f>
        <v>3.5</v>
      </c>
      <c r="AD15" s="1">
        <f t="shared" si="74"/>
        <v>3</v>
      </c>
      <c r="AE15" s="1">
        <f t="shared" si="74"/>
        <v>4</v>
      </c>
      <c r="AF15" s="1">
        <f t="shared" si="74"/>
        <v>2</v>
      </c>
      <c r="AG15" s="1">
        <f t="shared" si="74"/>
        <v>4</v>
      </c>
      <c r="AH15" s="1"/>
      <c r="AI15" s="1">
        <f t="shared" ref="AI15:AM15" si="75">AVERAGE(AI13:AI14)</f>
        <v>1</v>
      </c>
      <c r="AJ15" s="1">
        <f t="shared" si="75"/>
        <v>1</v>
      </c>
      <c r="AK15" s="1">
        <f t="shared" si="75"/>
        <v>3.5</v>
      </c>
      <c r="AL15" s="1">
        <f t="shared" si="75"/>
        <v>4.5</v>
      </c>
      <c r="AM15" s="1">
        <f t="shared" si="75"/>
        <v>4</v>
      </c>
      <c r="AN15" s="1"/>
      <c r="AO15" s="1">
        <f t="shared" ref="AO15:AS15" si="76">AVERAGE(AO13:AO14)</f>
        <v>3</v>
      </c>
      <c r="AP15" s="1">
        <f t="shared" si="76"/>
        <v>3.5</v>
      </c>
      <c r="AQ15" s="1">
        <f t="shared" si="76"/>
        <v>2.5</v>
      </c>
      <c r="AR15" s="1">
        <f t="shared" si="76"/>
        <v>4.5</v>
      </c>
      <c r="AS15" s="1">
        <f t="shared" si="76"/>
        <v>2.5</v>
      </c>
      <c r="AT15" s="1"/>
      <c r="AU15" s="1">
        <f t="shared" ref="AU15:AY15" si="77">AVERAGE(AU13:AU14)</f>
        <v>4</v>
      </c>
      <c r="AV15" s="1">
        <f t="shared" si="77"/>
        <v>2</v>
      </c>
      <c r="AW15" s="1">
        <f t="shared" si="77"/>
        <v>2.5</v>
      </c>
      <c r="AX15" s="1">
        <f t="shared" si="77"/>
        <v>2.5</v>
      </c>
      <c r="AY15" s="1">
        <f t="shared" si="77"/>
        <v>2</v>
      </c>
      <c r="AZ15" s="1"/>
      <c r="BA15" s="1">
        <f t="shared" ref="BA15:BE15" si="78">AVERAGE(BA13:BA14)</f>
        <v>3</v>
      </c>
      <c r="BB15" s="1">
        <f t="shared" si="78"/>
        <v>2</v>
      </c>
      <c r="BC15" s="1">
        <f t="shared" si="78"/>
        <v>3.5</v>
      </c>
      <c r="BD15" s="1">
        <f t="shared" si="78"/>
        <v>3</v>
      </c>
      <c r="BE15" s="1">
        <f t="shared" si="78"/>
        <v>4</v>
      </c>
      <c r="BF15" s="1"/>
      <c r="BG15" s="1">
        <f t="shared" ref="BG15:BK15" si="79">AVERAGE(BG13:BG14)</f>
        <v>2</v>
      </c>
      <c r="BH15" s="1">
        <f t="shared" si="79"/>
        <v>2.5</v>
      </c>
      <c r="BI15" s="1">
        <f t="shared" si="79"/>
        <v>2.5</v>
      </c>
      <c r="BJ15" s="1">
        <f t="shared" si="79"/>
        <v>1.5</v>
      </c>
      <c r="BK15" s="1">
        <f t="shared" si="79"/>
        <v>2.5</v>
      </c>
      <c r="BL15" s="1"/>
      <c r="BM15" s="1">
        <f t="shared" ref="BM15:BQ15" si="80">AVERAGE(BM13:BM14)</f>
        <v>3</v>
      </c>
      <c r="BN15" s="1">
        <f t="shared" si="80"/>
        <v>2</v>
      </c>
      <c r="BO15" s="1">
        <f t="shared" si="80"/>
        <v>4</v>
      </c>
      <c r="BP15" s="1">
        <f t="shared" si="80"/>
        <v>2.5</v>
      </c>
      <c r="BQ15" s="1">
        <f t="shared" si="80"/>
        <v>2.5</v>
      </c>
      <c r="BR15" s="1"/>
      <c r="BS15" s="1">
        <f t="shared" ref="BS15:BW15" si="81">AVERAGE(BS13:BS14)</f>
        <v>3</v>
      </c>
      <c r="BT15" s="1">
        <f t="shared" si="81"/>
        <v>3</v>
      </c>
      <c r="BU15" s="1">
        <f t="shared" si="81"/>
        <v>4</v>
      </c>
      <c r="BV15" s="1">
        <f t="shared" si="81"/>
        <v>4</v>
      </c>
      <c r="BW15" s="1">
        <f t="shared" si="81"/>
        <v>2.5</v>
      </c>
      <c r="BX15" s="1"/>
      <c r="BY15" s="1">
        <f t="shared" ref="BY15:CC15" si="82">AVERAGE(BY13:BY14)</f>
        <v>3</v>
      </c>
      <c r="BZ15" s="1">
        <f t="shared" si="82"/>
        <v>3.5</v>
      </c>
      <c r="CA15" s="1">
        <f t="shared" si="82"/>
        <v>2.5</v>
      </c>
      <c r="CB15" s="1">
        <f t="shared" si="82"/>
        <v>2</v>
      </c>
      <c r="CC15" s="1">
        <f t="shared" si="82"/>
        <v>3</v>
      </c>
      <c r="CD15" s="1"/>
      <c r="CE15" s="1">
        <f t="shared" ref="CE15:CI15" si="83">AVERAGE(CE13:CE14)</f>
        <v>3</v>
      </c>
      <c r="CF15" s="1">
        <f t="shared" si="83"/>
        <v>3</v>
      </c>
      <c r="CG15" s="1">
        <f t="shared" si="83"/>
        <v>3.5</v>
      </c>
      <c r="CH15" s="1">
        <f t="shared" si="83"/>
        <v>2</v>
      </c>
      <c r="CI15" s="1">
        <f t="shared" si="83"/>
        <v>4.5</v>
      </c>
      <c r="CJ15" s="1"/>
      <c r="CK15" s="1">
        <f t="shared" ref="CK15:CO15" si="84">AVERAGE(CK13:CK14)</f>
        <v>2.5</v>
      </c>
      <c r="CL15" s="1">
        <f t="shared" si="84"/>
        <v>3</v>
      </c>
      <c r="CM15" s="1">
        <f t="shared" si="84"/>
        <v>2</v>
      </c>
      <c r="CN15" s="1">
        <f t="shared" si="84"/>
        <v>1.5</v>
      </c>
      <c r="CO15" s="1">
        <f t="shared" si="84"/>
        <v>4</v>
      </c>
      <c r="CP15" s="1"/>
      <c r="CQ15" s="1">
        <f t="shared" ref="CQ15:CU15" si="85">AVERAGE(CQ13:CQ14)</f>
        <v>2</v>
      </c>
      <c r="CR15" s="1">
        <f t="shared" si="85"/>
        <v>2</v>
      </c>
      <c r="CS15" s="1">
        <f t="shared" si="85"/>
        <v>2.5</v>
      </c>
      <c r="CT15" s="1">
        <f t="shared" si="85"/>
        <v>3</v>
      </c>
      <c r="CU15" s="1">
        <f t="shared" si="85"/>
        <v>1.5</v>
      </c>
      <c r="CV15" s="1"/>
      <c r="CW15" s="1">
        <f t="shared" ref="CW15:DA15" si="86">AVERAGE(CW13:CW14)</f>
        <v>3.5</v>
      </c>
      <c r="CX15" s="1">
        <f t="shared" si="86"/>
        <v>1.5</v>
      </c>
      <c r="CY15" s="1">
        <f t="shared" si="86"/>
        <v>2.5</v>
      </c>
      <c r="CZ15" s="1">
        <f t="shared" si="86"/>
        <v>2.5</v>
      </c>
      <c r="DA15" s="1">
        <f t="shared" si="86"/>
        <v>3</v>
      </c>
      <c r="DB15" s="1"/>
      <c r="DC15" s="1">
        <f t="shared" ref="DC15:DG15" si="87">AVERAGE(DC13:DC14)</f>
        <v>3</v>
      </c>
      <c r="DD15" s="1">
        <f t="shared" si="87"/>
        <v>4</v>
      </c>
      <c r="DE15" s="1">
        <f t="shared" si="87"/>
        <v>3</v>
      </c>
      <c r="DF15" s="1">
        <f t="shared" si="87"/>
        <v>3</v>
      </c>
      <c r="DG15" s="1">
        <f t="shared" si="87"/>
        <v>3</v>
      </c>
      <c r="DH15" s="1"/>
      <c r="DI15" s="1">
        <f t="shared" ref="DI15:DM15" si="88">AVERAGE(DI13:DI14)</f>
        <v>2</v>
      </c>
      <c r="DJ15" s="1">
        <f t="shared" si="88"/>
        <v>2</v>
      </c>
      <c r="DK15" s="1">
        <f t="shared" si="88"/>
        <v>2.5</v>
      </c>
      <c r="DL15" s="1">
        <f t="shared" si="88"/>
        <v>1</v>
      </c>
      <c r="DM15" s="1">
        <f t="shared" si="88"/>
        <v>4.5</v>
      </c>
      <c r="DN15" s="1"/>
      <c r="DO15" s="1">
        <f t="shared" ref="DO15:DS15" si="89">AVERAGE(DO13:DO14)</f>
        <v>1.5</v>
      </c>
      <c r="DP15" s="1">
        <f t="shared" si="89"/>
        <v>3</v>
      </c>
      <c r="DQ15" s="1">
        <f t="shared" si="89"/>
        <v>3</v>
      </c>
      <c r="DR15" s="1">
        <f t="shared" si="89"/>
        <v>2</v>
      </c>
      <c r="DS15" s="1">
        <f t="shared" si="89"/>
        <v>3</v>
      </c>
      <c r="DT15" s="1"/>
      <c r="DU15" s="1">
        <f t="shared" ref="DU15:DY15" si="90">AVERAGE(DU13:DU14)</f>
        <v>3</v>
      </c>
      <c r="DV15" s="1">
        <f t="shared" si="90"/>
        <v>4</v>
      </c>
      <c r="DW15" s="1">
        <f t="shared" si="90"/>
        <v>5</v>
      </c>
      <c r="DX15" s="1">
        <f t="shared" si="90"/>
        <v>4.5</v>
      </c>
      <c r="DY15" s="1">
        <f t="shared" si="90"/>
        <v>4</v>
      </c>
      <c r="DZ15" s="1"/>
      <c r="EA15" s="1">
        <f t="shared" ref="EA15:EE15" si="91">AVERAGE(EA13:EA14)</f>
        <v>4</v>
      </c>
      <c r="EB15" s="1">
        <f t="shared" si="91"/>
        <v>1.5</v>
      </c>
      <c r="EC15" s="1">
        <f t="shared" si="91"/>
        <v>2.5</v>
      </c>
      <c r="ED15" s="1">
        <f t="shared" si="91"/>
        <v>1.5</v>
      </c>
      <c r="EE15" s="1">
        <f t="shared" si="91"/>
        <v>3.5</v>
      </c>
      <c r="EF15" s="1"/>
      <c r="EG15" s="1">
        <f t="shared" ref="EG15:EK15" si="92">AVERAGE(EG13:EG14)</f>
        <v>3</v>
      </c>
      <c r="EH15" s="1">
        <f t="shared" si="92"/>
        <v>2</v>
      </c>
      <c r="EI15" s="1">
        <f t="shared" si="92"/>
        <v>4</v>
      </c>
      <c r="EJ15" s="1">
        <f t="shared" si="92"/>
        <v>3.5</v>
      </c>
      <c r="EK15" s="1">
        <f t="shared" si="92"/>
        <v>4.5</v>
      </c>
      <c r="EL15" s="1"/>
      <c r="EM15" s="1">
        <f t="shared" ref="EM15:EQ15" si="93">AVERAGE(EM13:EM14)</f>
        <v>4</v>
      </c>
      <c r="EN15" s="1">
        <f t="shared" si="93"/>
        <v>2.5</v>
      </c>
      <c r="EO15" s="1">
        <f t="shared" si="93"/>
        <v>4</v>
      </c>
      <c r="EP15" s="1">
        <f t="shared" si="93"/>
        <v>1.5</v>
      </c>
      <c r="EQ15" s="1">
        <f t="shared" si="93"/>
        <v>3.5</v>
      </c>
      <c r="ER15" s="1"/>
      <c r="ES15" s="1">
        <f t="shared" ref="ES15:EW15" si="94">AVERAGE(ES13:ES14)</f>
        <v>2</v>
      </c>
      <c r="ET15" s="1">
        <f t="shared" si="94"/>
        <v>1.5</v>
      </c>
      <c r="EU15" s="1">
        <f t="shared" si="94"/>
        <v>3.5</v>
      </c>
      <c r="EV15" s="1">
        <f t="shared" si="94"/>
        <v>3</v>
      </c>
      <c r="EW15" s="1">
        <f t="shared" si="94"/>
        <v>3</v>
      </c>
      <c r="EX15" s="1"/>
      <c r="EY15" s="1">
        <f t="shared" ref="EY15:FC15" si="95">AVERAGE(EY13:EY14)</f>
        <v>4</v>
      </c>
      <c r="EZ15" s="1">
        <f t="shared" si="95"/>
        <v>2.5</v>
      </c>
      <c r="FA15" s="1">
        <f t="shared" si="95"/>
        <v>2.5</v>
      </c>
      <c r="FB15" s="1">
        <f t="shared" si="95"/>
        <v>2.5</v>
      </c>
      <c r="FC15" s="1">
        <f t="shared" si="95"/>
        <v>3.5</v>
      </c>
      <c r="FD15" s="1"/>
      <c r="FE15" s="1">
        <f t="shared" ref="FE15:FI15" si="96">AVERAGE(FE13:FE14)</f>
        <v>2</v>
      </c>
      <c r="FF15" s="1">
        <f t="shared" si="96"/>
        <v>1</v>
      </c>
      <c r="FG15" s="1">
        <f t="shared" si="96"/>
        <v>2.5</v>
      </c>
      <c r="FH15" s="1">
        <f t="shared" si="96"/>
        <v>3</v>
      </c>
      <c r="FI15" s="1">
        <f t="shared" si="96"/>
        <v>2.5</v>
      </c>
      <c r="FJ15" s="1"/>
      <c r="FK15" s="1">
        <f t="shared" ref="FK15:FO15" si="97">AVERAGE(FK13:FK14)</f>
        <v>4</v>
      </c>
      <c r="FL15" s="1">
        <f t="shared" si="97"/>
        <v>2</v>
      </c>
      <c r="FM15" s="1">
        <f t="shared" si="97"/>
        <v>4</v>
      </c>
      <c r="FN15" s="1">
        <f t="shared" si="97"/>
        <v>3.5</v>
      </c>
      <c r="FO15" s="1">
        <f t="shared" si="97"/>
        <v>4</v>
      </c>
      <c r="FP15" s="1"/>
      <c r="FQ15" s="1">
        <f t="shared" ref="FQ15:FU15" si="98">AVERAGE(FQ13:FQ14)</f>
        <v>3.5</v>
      </c>
      <c r="FR15" s="1">
        <f t="shared" si="98"/>
        <v>2.5</v>
      </c>
      <c r="FS15" s="1">
        <f t="shared" si="98"/>
        <v>3.5</v>
      </c>
      <c r="FT15" s="1">
        <f t="shared" si="98"/>
        <v>3</v>
      </c>
      <c r="FU15" s="1">
        <f t="shared" si="98"/>
        <v>3</v>
      </c>
      <c r="FV15" s="1"/>
      <c r="FW15" s="1">
        <f t="shared" ref="FW15:GA15" si="99">AVERAGE(FW13:FW14)</f>
        <v>3</v>
      </c>
      <c r="FX15" s="1">
        <f t="shared" si="99"/>
        <v>1.5</v>
      </c>
      <c r="FY15" s="1">
        <f t="shared" si="99"/>
        <v>4</v>
      </c>
      <c r="FZ15" s="1">
        <f t="shared" si="99"/>
        <v>2</v>
      </c>
      <c r="GA15" s="1">
        <f t="shared" si="99"/>
        <v>4.5</v>
      </c>
      <c r="GB15" s="1"/>
      <c r="GC15" s="1">
        <f t="shared" ref="GC15:GG15" si="100">AVERAGE(GC13:GC14)</f>
        <v>3.5</v>
      </c>
      <c r="GD15" s="1">
        <f t="shared" si="100"/>
        <v>3</v>
      </c>
      <c r="GE15" s="1">
        <f t="shared" si="100"/>
        <v>2.5</v>
      </c>
      <c r="GF15" s="1">
        <f t="shared" si="100"/>
        <v>2.5</v>
      </c>
      <c r="GG15" s="1">
        <f t="shared" si="100"/>
        <v>1</v>
      </c>
      <c r="GH15" s="1"/>
      <c r="GI15" s="1">
        <f t="shared" ref="GI15:GM15" si="101">AVERAGE(GI13:GI14)</f>
        <v>3.5</v>
      </c>
      <c r="GJ15" s="1">
        <f t="shared" si="101"/>
        <v>2.5</v>
      </c>
      <c r="GK15" s="1">
        <f t="shared" si="101"/>
        <v>3.5</v>
      </c>
      <c r="GL15" s="1">
        <f t="shared" si="101"/>
        <v>3.5</v>
      </c>
      <c r="GM15" s="1">
        <f t="shared" si="101"/>
        <v>2.5</v>
      </c>
      <c r="GN15" s="1"/>
      <c r="GO15" s="1">
        <f t="shared" ref="GO15:GS15" si="102">AVERAGE(GO13:GO14)</f>
        <v>3</v>
      </c>
      <c r="GP15" s="1">
        <f t="shared" si="102"/>
        <v>2.5</v>
      </c>
      <c r="GQ15" s="1">
        <f t="shared" si="102"/>
        <v>3.5</v>
      </c>
      <c r="GR15" s="1">
        <f t="shared" si="102"/>
        <v>2.5</v>
      </c>
      <c r="GS15" s="1">
        <f t="shared" si="102"/>
        <v>3</v>
      </c>
      <c r="GT15" s="1"/>
      <c r="GU15" s="1">
        <f t="shared" ref="GU15:GY15" si="103">AVERAGE(GU13:GU14)</f>
        <v>3</v>
      </c>
      <c r="GV15" s="1">
        <f t="shared" si="103"/>
        <v>2.5</v>
      </c>
      <c r="GW15" s="1">
        <f t="shared" si="103"/>
        <v>3.5</v>
      </c>
      <c r="GX15" s="1">
        <f t="shared" si="103"/>
        <v>3</v>
      </c>
      <c r="GY15" s="1">
        <f t="shared" si="103"/>
        <v>1</v>
      </c>
      <c r="GZ15" s="1"/>
      <c r="HA15" s="1">
        <f t="shared" ref="HA15:HE15" si="104">AVERAGE(HA13:HA14)</f>
        <v>3</v>
      </c>
      <c r="HB15" s="1">
        <f t="shared" si="104"/>
        <v>2.5</v>
      </c>
      <c r="HC15" s="1">
        <f t="shared" si="104"/>
        <v>2.5</v>
      </c>
      <c r="HD15" s="1">
        <f t="shared" si="104"/>
        <v>3.5</v>
      </c>
      <c r="HE15" s="1">
        <f t="shared" si="104"/>
        <v>4.5</v>
      </c>
    </row>
    <row r="16" spans="1:213" x14ac:dyDescent="0.25"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</row>
    <row r="17" spans="1:213" x14ac:dyDescent="0.25">
      <c r="A17" t="s">
        <v>191</v>
      </c>
      <c r="B17" t="s">
        <v>192</v>
      </c>
      <c r="C17">
        <v>168432</v>
      </c>
      <c r="E17" s="1">
        <v>2</v>
      </c>
      <c r="F17" s="1">
        <v>2</v>
      </c>
      <c r="G17" s="1">
        <v>1</v>
      </c>
      <c r="H17" s="1">
        <v>2</v>
      </c>
      <c r="I17" s="1">
        <v>2</v>
      </c>
      <c r="J17" s="1"/>
      <c r="K17" s="1">
        <v>3</v>
      </c>
      <c r="L17" s="1">
        <v>3</v>
      </c>
      <c r="M17" s="1">
        <v>2</v>
      </c>
      <c r="N17" s="1">
        <v>3</v>
      </c>
      <c r="O17" s="1">
        <v>3</v>
      </c>
      <c r="P17" s="1"/>
      <c r="Q17" s="1">
        <v>3</v>
      </c>
      <c r="R17" s="1">
        <v>3</v>
      </c>
      <c r="S17" s="1">
        <v>2</v>
      </c>
      <c r="T17" s="1">
        <v>1</v>
      </c>
      <c r="U17" s="1">
        <v>3</v>
      </c>
      <c r="V17" s="1"/>
      <c r="W17" s="1">
        <v>3</v>
      </c>
      <c r="X17" s="1">
        <v>2</v>
      </c>
      <c r="Y17" s="1">
        <v>3</v>
      </c>
      <c r="Z17" s="1">
        <v>2</v>
      </c>
      <c r="AA17" s="1">
        <v>2</v>
      </c>
      <c r="AB17" s="1"/>
      <c r="AC17" s="1">
        <v>3</v>
      </c>
      <c r="AD17" s="1">
        <v>3</v>
      </c>
      <c r="AE17" s="1">
        <v>3</v>
      </c>
      <c r="AF17" s="1">
        <v>3</v>
      </c>
      <c r="AG17" s="1">
        <v>3</v>
      </c>
      <c r="AH17" s="1"/>
      <c r="AI17" s="1">
        <v>1</v>
      </c>
      <c r="AJ17" s="1">
        <v>1</v>
      </c>
      <c r="AK17" s="1">
        <v>4</v>
      </c>
      <c r="AL17" s="1">
        <v>4</v>
      </c>
      <c r="AM17" s="1">
        <v>3</v>
      </c>
      <c r="AN17" s="1"/>
      <c r="AO17" s="1">
        <v>1</v>
      </c>
      <c r="AP17" s="1">
        <v>2</v>
      </c>
      <c r="AQ17" s="1">
        <v>1</v>
      </c>
      <c r="AR17" s="1">
        <v>2</v>
      </c>
      <c r="AS17" s="1">
        <v>4</v>
      </c>
      <c r="AT17" s="1"/>
      <c r="AU17" s="1">
        <v>1</v>
      </c>
      <c r="AV17" s="1">
        <v>1</v>
      </c>
      <c r="AW17" s="1">
        <v>4</v>
      </c>
      <c r="AX17" s="1">
        <v>1</v>
      </c>
      <c r="AY17" s="1">
        <v>1</v>
      </c>
      <c r="AZ17" s="1"/>
      <c r="BA17" s="1">
        <v>1</v>
      </c>
      <c r="BB17" s="1">
        <v>1</v>
      </c>
      <c r="BC17" s="1">
        <v>4</v>
      </c>
      <c r="BD17" s="1">
        <v>4</v>
      </c>
      <c r="BE17" s="1">
        <v>1</v>
      </c>
      <c r="BF17" s="1"/>
      <c r="BG17" s="1">
        <v>1</v>
      </c>
      <c r="BH17" s="1">
        <v>2</v>
      </c>
      <c r="BI17" s="1">
        <v>2</v>
      </c>
      <c r="BJ17" s="1">
        <v>2</v>
      </c>
      <c r="BK17" s="1">
        <v>1</v>
      </c>
      <c r="BL17" s="1"/>
      <c r="BM17" s="1">
        <v>3</v>
      </c>
      <c r="BN17" s="1">
        <v>1</v>
      </c>
      <c r="BO17" s="1">
        <v>4</v>
      </c>
      <c r="BP17" s="1">
        <v>1</v>
      </c>
      <c r="BQ17" s="1">
        <v>1</v>
      </c>
      <c r="BR17" s="1"/>
      <c r="BS17" s="1">
        <v>2</v>
      </c>
      <c r="BT17" s="1">
        <v>3</v>
      </c>
      <c r="BU17" s="1">
        <v>3</v>
      </c>
      <c r="BV17" s="1">
        <v>4</v>
      </c>
      <c r="BW17" s="1">
        <v>1</v>
      </c>
      <c r="BX17" s="1"/>
      <c r="BY17" s="1">
        <v>3</v>
      </c>
      <c r="BZ17" s="1">
        <v>3</v>
      </c>
      <c r="CA17" s="1">
        <v>3</v>
      </c>
      <c r="CB17" s="1">
        <v>3</v>
      </c>
      <c r="CC17" s="1">
        <v>1</v>
      </c>
      <c r="CD17" s="1"/>
      <c r="CE17" s="1">
        <v>4</v>
      </c>
      <c r="CF17" s="1">
        <v>2</v>
      </c>
      <c r="CG17" s="1">
        <v>4</v>
      </c>
      <c r="CH17" s="1">
        <v>3</v>
      </c>
      <c r="CI17" s="1">
        <v>3</v>
      </c>
      <c r="CJ17" s="1"/>
      <c r="CK17" s="1">
        <v>3</v>
      </c>
      <c r="CL17" s="1">
        <v>3</v>
      </c>
      <c r="CM17" s="1">
        <v>1</v>
      </c>
      <c r="CN17" s="1">
        <v>1</v>
      </c>
      <c r="CO17" s="1">
        <v>3</v>
      </c>
      <c r="CP17" s="1"/>
      <c r="CQ17" s="1">
        <v>2</v>
      </c>
      <c r="CR17" s="1">
        <v>1</v>
      </c>
      <c r="CS17" s="1">
        <v>3</v>
      </c>
      <c r="CT17" s="1">
        <v>3</v>
      </c>
      <c r="CU17" s="1">
        <v>1</v>
      </c>
      <c r="CV17" s="1"/>
      <c r="CW17" s="1">
        <v>4</v>
      </c>
      <c r="CX17" s="1">
        <v>2</v>
      </c>
      <c r="CY17" s="1">
        <v>4</v>
      </c>
      <c r="CZ17" s="1">
        <v>2</v>
      </c>
      <c r="DA17" s="1">
        <v>5</v>
      </c>
      <c r="DB17" s="1"/>
      <c r="DC17" s="1">
        <v>3</v>
      </c>
      <c r="DD17" s="1">
        <v>3</v>
      </c>
      <c r="DE17" s="1">
        <v>3</v>
      </c>
      <c r="DF17" s="1">
        <v>2</v>
      </c>
      <c r="DG17" s="1">
        <v>1</v>
      </c>
      <c r="DH17" s="1"/>
      <c r="DI17" s="1">
        <v>2</v>
      </c>
      <c r="DJ17" s="1">
        <v>1</v>
      </c>
      <c r="DK17" s="1">
        <v>2</v>
      </c>
      <c r="DL17" s="1">
        <v>1</v>
      </c>
      <c r="DM17" s="1">
        <v>3</v>
      </c>
      <c r="DN17" s="1"/>
      <c r="DO17" s="1">
        <v>3</v>
      </c>
      <c r="DP17" s="1">
        <v>1</v>
      </c>
      <c r="DQ17" s="1">
        <v>2</v>
      </c>
      <c r="DR17" s="1">
        <v>2</v>
      </c>
      <c r="DS17" s="1">
        <v>3</v>
      </c>
      <c r="DT17" s="1"/>
      <c r="DU17" s="1">
        <v>2</v>
      </c>
      <c r="DV17" s="1">
        <v>2</v>
      </c>
      <c r="DW17" s="1">
        <v>2</v>
      </c>
      <c r="DX17" s="1">
        <v>1</v>
      </c>
      <c r="DY17" s="1">
        <v>2</v>
      </c>
      <c r="DZ17" s="1"/>
      <c r="EA17" s="1">
        <v>5</v>
      </c>
      <c r="EB17" s="1">
        <v>1</v>
      </c>
      <c r="EC17" s="1">
        <v>3</v>
      </c>
      <c r="ED17" s="1">
        <v>2</v>
      </c>
      <c r="EE17" s="1">
        <v>2</v>
      </c>
      <c r="EF17" s="1"/>
      <c r="EG17" s="1">
        <v>2</v>
      </c>
      <c r="EH17" s="1">
        <v>3</v>
      </c>
      <c r="EI17" s="1">
        <v>3</v>
      </c>
      <c r="EJ17" s="1">
        <v>3</v>
      </c>
      <c r="EK17" s="1">
        <v>2</v>
      </c>
      <c r="EL17" s="1"/>
      <c r="EM17" s="1">
        <v>3</v>
      </c>
      <c r="EN17" s="1">
        <v>1</v>
      </c>
      <c r="EO17" s="1">
        <v>2</v>
      </c>
      <c r="EP17" s="1">
        <v>2</v>
      </c>
      <c r="EQ17" s="1">
        <v>1</v>
      </c>
      <c r="ER17" s="1"/>
      <c r="ES17" s="1">
        <v>2</v>
      </c>
      <c r="ET17" s="1">
        <v>1</v>
      </c>
      <c r="EU17" s="1">
        <v>2</v>
      </c>
      <c r="EV17" s="1">
        <v>1</v>
      </c>
      <c r="EW17" s="1">
        <v>1</v>
      </c>
      <c r="EX17" s="1"/>
      <c r="EY17" s="1">
        <v>5</v>
      </c>
      <c r="EZ17" s="1">
        <v>2</v>
      </c>
      <c r="FA17" s="1">
        <v>2</v>
      </c>
      <c r="FB17" s="1">
        <v>1</v>
      </c>
      <c r="FC17" s="1">
        <v>3</v>
      </c>
      <c r="FD17" s="1"/>
      <c r="FE17" s="1">
        <v>3</v>
      </c>
      <c r="FF17" s="1">
        <v>1</v>
      </c>
      <c r="FG17" s="1">
        <v>1</v>
      </c>
      <c r="FH17" s="1">
        <v>3</v>
      </c>
      <c r="FI17" s="1">
        <v>1</v>
      </c>
      <c r="FJ17" s="1"/>
      <c r="FK17" s="1">
        <v>4</v>
      </c>
      <c r="FL17" s="1">
        <v>1</v>
      </c>
      <c r="FM17" s="1">
        <v>3</v>
      </c>
      <c r="FN17" s="1">
        <v>3</v>
      </c>
      <c r="FO17" s="1">
        <v>1</v>
      </c>
      <c r="FP17" s="1"/>
      <c r="FQ17" s="1">
        <v>2</v>
      </c>
      <c r="FR17" s="1">
        <v>3</v>
      </c>
      <c r="FS17" s="1">
        <v>3</v>
      </c>
      <c r="FT17" s="1">
        <v>3</v>
      </c>
      <c r="FU17" s="1">
        <v>1</v>
      </c>
      <c r="FV17" s="1"/>
      <c r="FW17" s="1">
        <v>1</v>
      </c>
      <c r="FX17" s="1">
        <v>1</v>
      </c>
      <c r="FY17" s="1">
        <v>4</v>
      </c>
      <c r="FZ17" s="1">
        <v>1</v>
      </c>
      <c r="GA17" s="1">
        <v>4</v>
      </c>
      <c r="GB17" s="1"/>
      <c r="GC17" s="1">
        <v>4</v>
      </c>
      <c r="GD17" s="1">
        <v>2</v>
      </c>
      <c r="GE17" s="1">
        <v>4</v>
      </c>
      <c r="GF17" s="1">
        <v>3</v>
      </c>
      <c r="GG17" s="1">
        <v>1</v>
      </c>
      <c r="GH17" s="1"/>
      <c r="GI17" s="1">
        <v>1</v>
      </c>
      <c r="GJ17" s="1">
        <v>1</v>
      </c>
      <c r="GK17" s="1">
        <v>1</v>
      </c>
      <c r="GL17" s="1">
        <v>1</v>
      </c>
      <c r="GM17" s="1">
        <v>1</v>
      </c>
      <c r="GN17" s="1"/>
      <c r="GO17" s="1">
        <v>2</v>
      </c>
      <c r="GP17" s="1">
        <v>2</v>
      </c>
      <c r="GQ17" s="1">
        <v>2</v>
      </c>
      <c r="GR17" s="1">
        <v>1</v>
      </c>
      <c r="GS17" s="1">
        <v>2</v>
      </c>
      <c r="GT17" s="1"/>
      <c r="GU17" s="1">
        <v>2</v>
      </c>
      <c r="GV17" s="1">
        <v>3</v>
      </c>
      <c r="GW17" s="1">
        <v>5</v>
      </c>
      <c r="GX17" s="1">
        <v>3</v>
      </c>
      <c r="GY17" s="1">
        <v>1</v>
      </c>
      <c r="GZ17" s="1"/>
      <c r="HA17" s="1">
        <v>3</v>
      </c>
      <c r="HB17" s="1">
        <v>3</v>
      </c>
      <c r="HC17" s="1">
        <v>2</v>
      </c>
      <c r="HD17" s="1">
        <v>2</v>
      </c>
      <c r="HE17" s="1">
        <v>3</v>
      </c>
    </row>
    <row r="18" spans="1:213" x14ac:dyDescent="0.25">
      <c r="A18" t="s">
        <v>184</v>
      </c>
      <c r="E18" s="1">
        <f t="shared" ref="E18:I18" si="105">AVERAGE(E17)</f>
        <v>2</v>
      </c>
      <c r="F18" s="1">
        <f t="shared" si="105"/>
        <v>2</v>
      </c>
      <c r="G18" s="1">
        <f t="shared" si="105"/>
        <v>1</v>
      </c>
      <c r="H18" s="1">
        <f t="shared" si="105"/>
        <v>2</v>
      </c>
      <c r="I18" s="1">
        <f t="shared" si="105"/>
        <v>2</v>
      </c>
      <c r="J18" s="1"/>
      <c r="K18" s="1">
        <f t="shared" ref="K18:O18" si="106">AVERAGE(K17)</f>
        <v>3</v>
      </c>
      <c r="L18" s="1">
        <f t="shared" si="106"/>
        <v>3</v>
      </c>
      <c r="M18" s="1">
        <f t="shared" si="106"/>
        <v>2</v>
      </c>
      <c r="N18" s="1">
        <f t="shared" si="106"/>
        <v>3</v>
      </c>
      <c r="O18" s="1">
        <f t="shared" si="106"/>
        <v>3</v>
      </c>
      <c r="P18" s="1"/>
      <c r="Q18" s="1">
        <f t="shared" ref="Q18:U18" si="107">AVERAGE(Q17)</f>
        <v>3</v>
      </c>
      <c r="R18" s="1">
        <f t="shared" si="107"/>
        <v>3</v>
      </c>
      <c r="S18" s="1">
        <f t="shared" si="107"/>
        <v>2</v>
      </c>
      <c r="T18" s="1">
        <f t="shared" si="107"/>
        <v>1</v>
      </c>
      <c r="U18" s="1">
        <f t="shared" si="107"/>
        <v>3</v>
      </c>
      <c r="V18" s="1"/>
      <c r="W18" s="1">
        <f t="shared" ref="W18:AA18" si="108">AVERAGE(W17)</f>
        <v>3</v>
      </c>
      <c r="X18" s="1">
        <f t="shared" si="108"/>
        <v>2</v>
      </c>
      <c r="Y18" s="1">
        <f t="shared" si="108"/>
        <v>3</v>
      </c>
      <c r="Z18" s="1">
        <f t="shared" si="108"/>
        <v>2</v>
      </c>
      <c r="AA18" s="1">
        <f t="shared" si="108"/>
        <v>2</v>
      </c>
      <c r="AB18" s="1"/>
      <c r="AC18" s="1">
        <f t="shared" ref="AC18:AG18" si="109">AVERAGE(AC17)</f>
        <v>3</v>
      </c>
      <c r="AD18" s="1">
        <f t="shared" si="109"/>
        <v>3</v>
      </c>
      <c r="AE18" s="1">
        <f t="shared" si="109"/>
        <v>3</v>
      </c>
      <c r="AF18" s="1">
        <f t="shared" si="109"/>
        <v>3</v>
      </c>
      <c r="AG18" s="1">
        <f t="shared" si="109"/>
        <v>3</v>
      </c>
      <c r="AH18" s="1"/>
      <c r="AI18" s="1">
        <f t="shared" ref="AI18:AM18" si="110">AVERAGE(AI17)</f>
        <v>1</v>
      </c>
      <c r="AJ18" s="1">
        <f t="shared" si="110"/>
        <v>1</v>
      </c>
      <c r="AK18" s="1">
        <f t="shared" si="110"/>
        <v>4</v>
      </c>
      <c r="AL18" s="1">
        <f t="shared" si="110"/>
        <v>4</v>
      </c>
      <c r="AM18" s="1">
        <f t="shared" si="110"/>
        <v>3</v>
      </c>
      <c r="AN18" s="1"/>
      <c r="AO18" s="1">
        <f t="shared" ref="AO18:AS18" si="111">AVERAGE(AO17)</f>
        <v>1</v>
      </c>
      <c r="AP18" s="1">
        <f t="shared" si="111"/>
        <v>2</v>
      </c>
      <c r="AQ18" s="1">
        <f t="shared" si="111"/>
        <v>1</v>
      </c>
      <c r="AR18" s="1">
        <f t="shared" si="111"/>
        <v>2</v>
      </c>
      <c r="AS18" s="1">
        <f t="shared" si="111"/>
        <v>4</v>
      </c>
      <c r="AT18" s="1"/>
      <c r="AU18" s="1">
        <f t="shared" ref="AU18:AY18" si="112">AVERAGE(AU17)</f>
        <v>1</v>
      </c>
      <c r="AV18" s="1">
        <f t="shared" si="112"/>
        <v>1</v>
      </c>
      <c r="AW18" s="1">
        <f t="shared" si="112"/>
        <v>4</v>
      </c>
      <c r="AX18" s="1">
        <f t="shared" si="112"/>
        <v>1</v>
      </c>
      <c r="AY18" s="1">
        <f t="shared" si="112"/>
        <v>1</v>
      </c>
      <c r="AZ18" s="1"/>
      <c r="BA18" s="1">
        <f t="shared" ref="BA18:BE18" si="113">AVERAGE(BA17)</f>
        <v>1</v>
      </c>
      <c r="BB18" s="1">
        <f t="shared" si="113"/>
        <v>1</v>
      </c>
      <c r="BC18" s="1">
        <f t="shared" si="113"/>
        <v>4</v>
      </c>
      <c r="BD18" s="1">
        <f t="shared" si="113"/>
        <v>4</v>
      </c>
      <c r="BE18" s="1">
        <f t="shared" si="113"/>
        <v>1</v>
      </c>
      <c r="BF18" s="1"/>
      <c r="BG18" s="1">
        <f t="shared" ref="BG18:BK18" si="114">AVERAGE(BG17)</f>
        <v>1</v>
      </c>
      <c r="BH18" s="1">
        <f t="shared" si="114"/>
        <v>2</v>
      </c>
      <c r="BI18" s="1">
        <f t="shared" si="114"/>
        <v>2</v>
      </c>
      <c r="BJ18" s="1">
        <f t="shared" si="114"/>
        <v>2</v>
      </c>
      <c r="BK18" s="1">
        <f t="shared" si="114"/>
        <v>1</v>
      </c>
      <c r="BL18" s="1"/>
      <c r="BM18" s="1">
        <f t="shared" ref="BM18:BQ18" si="115">AVERAGE(BM17)</f>
        <v>3</v>
      </c>
      <c r="BN18" s="1">
        <f t="shared" si="115"/>
        <v>1</v>
      </c>
      <c r="BO18" s="1">
        <f t="shared" si="115"/>
        <v>4</v>
      </c>
      <c r="BP18" s="1">
        <f t="shared" si="115"/>
        <v>1</v>
      </c>
      <c r="BQ18" s="1">
        <f t="shared" si="115"/>
        <v>1</v>
      </c>
      <c r="BR18" s="1"/>
      <c r="BS18" s="1">
        <f t="shared" ref="BS18:BW18" si="116">AVERAGE(BS17)</f>
        <v>2</v>
      </c>
      <c r="BT18" s="1">
        <f t="shared" si="116"/>
        <v>3</v>
      </c>
      <c r="BU18" s="1">
        <f t="shared" si="116"/>
        <v>3</v>
      </c>
      <c r="BV18" s="1">
        <f t="shared" si="116"/>
        <v>4</v>
      </c>
      <c r="BW18" s="1">
        <f t="shared" si="116"/>
        <v>1</v>
      </c>
      <c r="BX18" s="1"/>
      <c r="BY18" s="1">
        <f t="shared" ref="BY18:CC18" si="117">AVERAGE(BY17)</f>
        <v>3</v>
      </c>
      <c r="BZ18" s="1">
        <f t="shared" si="117"/>
        <v>3</v>
      </c>
      <c r="CA18" s="1">
        <f t="shared" si="117"/>
        <v>3</v>
      </c>
      <c r="CB18" s="1">
        <f t="shared" si="117"/>
        <v>3</v>
      </c>
      <c r="CC18" s="1">
        <f t="shared" si="117"/>
        <v>1</v>
      </c>
      <c r="CD18" s="1"/>
      <c r="CE18" s="1">
        <f t="shared" ref="CE18:CI18" si="118">AVERAGE(CE17)</f>
        <v>4</v>
      </c>
      <c r="CF18" s="1">
        <f t="shared" si="118"/>
        <v>2</v>
      </c>
      <c r="CG18" s="1">
        <f t="shared" si="118"/>
        <v>4</v>
      </c>
      <c r="CH18" s="1">
        <f t="shared" si="118"/>
        <v>3</v>
      </c>
      <c r="CI18" s="1">
        <f t="shared" si="118"/>
        <v>3</v>
      </c>
      <c r="CJ18" s="1"/>
      <c r="CK18" s="1">
        <f t="shared" ref="CK18:CO18" si="119">AVERAGE(CK17)</f>
        <v>3</v>
      </c>
      <c r="CL18" s="1">
        <f t="shared" si="119"/>
        <v>3</v>
      </c>
      <c r="CM18" s="1">
        <f t="shared" si="119"/>
        <v>1</v>
      </c>
      <c r="CN18" s="1">
        <f t="shared" si="119"/>
        <v>1</v>
      </c>
      <c r="CO18" s="1">
        <f t="shared" si="119"/>
        <v>3</v>
      </c>
      <c r="CP18" s="1"/>
      <c r="CQ18" s="1">
        <f t="shared" ref="CQ18:CU18" si="120">AVERAGE(CQ17)</f>
        <v>2</v>
      </c>
      <c r="CR18" s="1">
        <f t="shared" si="120"/>
        <v>1</v>
      </c>
      <c r="CS18" s="1">
        <f t="shared" si="120"/>
        <v>3</v>
      </c>
      <c r="CT18" s="1">
        <f t="shared" si="120"/>
        <v>3</v>
      </c>
      <c r="CU18" s="1">
        <f t="shared" si="120"/>
        <v>1</v>
      </c>
      <c r="CV18" s="1"/>
      <c r="CW18" s="1">
        <f t="shared" ref="CW18:DA18" si="121">AVERAGE(CW17)</f>
        <v>4</v>
      </c>
      <c r="CX18" s="1">
        <f t="shared" si="121"/>
        <v>2</v>
      </c>
      <c r="CY18" s="1">
        <f t="shared" si="121"/>
        <v>4</v>
      </c>
      <c r="CZ18" s="1">
        <f t="shared" si="121"/>
        <v>2</v>
      </c>
      <c r="DA18" s="1">
        <f t="shared" si="121"/>
        <v>5</v>
      </c>
      <c r="DB18" s="1"/>
      <c r="DC18" s="1">
        <f t="shared" ref="DC18:DG18" si="122">AVERAGE(DC17)</f>
        <v>3</v>
      </c>
      <c r="DD18" s="1">
        <f t="shared" si="122"/>
        <v>3</v>
      </c>
      <c r="DE18" s="1">
        <f t="shared" si="122"/>
        <v>3</v>
      </c>
      <c r="DF18" s="1">
        <f t="shared" si="122"/>
        <v>2</v>
      </c>
      <c r="DG18" s="1">
        <f t="shared" si="122"/>
        <v>1</v>
      </c>
      <c r="DH18" s="1"/>
      <c r="DI18" s="1">
        <f t="shared" ref="DI18:DM18" si="123">AVERAGE(DI17)</f>
        <v>2</v>
      </c>
      <c r="DJ18" s="1">
        <f t="shared" si="123"/>
        <v>1</v>
      </c>
      <c r="DK18" s="1">
        <f t="shared" si="123"/>
        <v>2</v>
      </c>
      <c r="DL18" s="1">
        <f t="shared" si="123"/>
        <v>1</v>
      </c>
      <c r="DM18" s="1">
        <f t="shared" si="123"/>
        <v>3</v>
      </c>
      <c r="DN18" s="1"/>
      <c r="DO18" s="1">
        <f t="shared" ref="DO18:DS18" si="124">AVERAGE(DO17)</f>
        <v>3</v>
      </c>
      <c r="DP18" s="1">
        <f t="shared" si="124"/>
        <v>1</v>
      </c>
      <c r="DQ18" s="1">
        <f t="shared" si="124"/>
        <v>2</v>
      </c>
      <c r="DR18" s="1">
        <f t="shared" si="124"/>
        <v>2</v>
      </c>
      <c r="DS18" s="1">
        <f t="shared" si="124"/>
        <v>3</v>
      </c>
      <c r="DT18" s="1"/>
      <c r="DU18" s="1">
        <f t="shared" ref="DU18:DY18" si="125">AVERAGE(DU17)</f>
        <v>2</v>
      </c>
      <c r="DV18" s="1">
        <f t="shared" si="125"/>
        <v>2</v>
      </c>
      <c r="DW18" s="1">
        <f t="shared" si="125"/>
        <v>2</v>
      </c>
      <c r="DX18" s="1">
        <f t="shared" si="125"/>
        <v>1</v>
      </c>
      <c r="DY18" s="1">
        <f t="shared" si="125"/>
        <v>2</v>
      </c>
      <c r="DZ18" s="1"/>
      <c r="EA18" s="1">
        <f t="shared" ref="EA18:EE18" si="126">AVERAGE(EA17)</f>
        <v>5</v>
      </c>
      <c r="EB18" s="1">
        <f t="shared" si="126"/>
        <v>1</v>
      </c>
      <c r="EC18" s="1">
        <f t="shared" si="126"/>
        <v>3</v>
      </c>
      <c r="ED18" s="1">
        <f t="shared" si="126"/>
        <v>2</v>
      </c>
      <c r="EE18" s="1">
        <f t="shared" si="126"/>
        <v>2</v>
      </c>
      <c r="EF18" s="1"/>
      <c r="EG18" s="1">
        <f t="shared" ref="EG18:EK18" si="127">AVERAGE(EG17)</f>
        <v>2</v>
      </c>
      <c r="EH18" s="1">
        <f t="shared" si="127"/>
        <v>3</v>
      </c>
      <c r="EI18" s="1">
        <f t="shared" si="127"/>
        <v>3</v>
      </c>
      <c r="EJ18" s="1">
        <f t="shared" si="127"/>
        <v>3</v>
      </c>
      <c r="EK18" s="1">
        <f t="shared" si="127"/>
        <v>2</v>
      </c>
      <c r="EL18" s="1"/>
      <c r="EM18" s="1">
        <f t="shared" ref="EM18:EQ18" si="128">AVERAGE(EM17)</f>
        <v>3</v>
      </c>
      <c r="EN18" s="1">
        <f t="shared" si="128"/>
        <v>1</v>
      </c>
      <c r="EO18" s="1">
        <f t="shared" si="128"/>
        <v>2</v>
      </c>
      <c r="EP18" s="1">
        <f t="shared" si="128"/>
        <v>2</v>
      </c>
      <c r="EQ18" s="1">
        <f t="shared" si="128"/>
        <v>1</v>
      </c>
      <c r="ER18" s="1"/>
      <c r="ES18" s="1">
        <f t="shared" ref="ES18:EW18" si="129">AVERAGE(ES17)</f>
        <v>2</v>
      </c>
      <c r="ET18" s="1">
        <f t="shared" si="129"/>
        <v>1</v>
      </c>
      <c r="EU18" s="1">
        <f t="shared" si="129"/>
        <v>2</v>
      </c>
      <c r="EV18" s="1">
        <f t="shared" si="129"/>
        <v>1</v>
      </c>
      <c r="EW18" s="1">
        <f t="shared" si="129"/>
        <v>1</v>
      </c>
      <c r="EX18" s="1"/>
      <c r="EY18" s="1">
        <f t="shared" ref="EY18:FC18" si="130">AVERAGE(EY17)</f>
        <v>5</v>
      </c>
      <c r="EZ18" s="1">
        <f t="shared" si="130"/>
        <v>2</v>
      </c>
      <c r="FA18" s="1">
        <f t="shared" si="130"/>
        <v>2</v>
      </c>
      <c r="FB18" s="1">
        <f t="shared" si="130"/>
        <v>1</v>
      </c>
      <c r="FC18" s="1">
        <f t="shared" si="130"/>
        <v>3</v>
      </c>
      <c r="FD18" s="1"/>
      <c r="FE18" s="1">
        <f t="shared" ref="FE18:FI18" si="131">AVERAGE(FE17)</f>
        <v>3</v>
      </c>
      <c r="FF18" s="1">
        <f t="shared" si="131"/>
        <v>1</v>
      </c>
      <c r="FG18" s="1">
        <f t="shared" si="131"/>
        <v>1</v>
      </c>
      <c r="FH18" s="1">
        <f t="shared" si="131"/>
        <v>3</v>
      </c>
      <c r="FI18" s="1">
        <f t="shared" si="131"/>
        <v>1</v>
      </c>
      <c r="FJ18" s="1"/>
      <c r="FK18" s="1">
        <f t="shared" ref="FK18:FO18" si="132">AVERAGE(FK17)</f>
        <v>4</v>
      </c>
      <c r="FL18" s="1">
        <f t="shared" si="132"/>
        <v>1</v>
      </c>
      <c r="FM18" s="1">
        <f t="shared" si="132"/>
        <v>3</v>
      </c>
      <c r="FN18" s="1">
        <f t="shared" si="132"/>
        <v>3</v>
      </c>
      <c r="FO18" s="1">
        <f t="shared" si="132"/>
        <v>1</v>
      </c>
      <c r="FP18" s="1"/>
      <c r="FQ18" s="1">
        <f t="shared" ref="FQ18:FU18" si="133">AVERAGE(FQ17)</f>
        <v>2</v>
      </c>
      <c r="FR18" s="1">
        <f t="shared" si="133"/>
        <v>3</v>
      </c>
      <c r="FS18" s="1">
        <f t="shared" si="133"/>
        <v>3</v>
      </c>
      <c r="FT18" s="1">
        <f t="shared" si="133"/>
        <v>3</v>
      </c>
      <c r="FU18" s="1">
        <f t="shared" si="133"/>
        <v>1</v>
      </c>
      <c r="FV18" s="1"/>
      <c r="FW18" s="1">
        <f t="shared" ref="FW18:GA18" si="134">AVERAGE(FW17)</f>
        <v>1</v>
      </c>
      <c r="FX18" s="1">
        <f t="shared" si="134"/>
        <v>1</v>
      </c>
      <c r="FY18" s="1">
        <f t="shared" si="134"/>
        <v>4</v>
      </c>
      <c r="FZ18" s="1">
        <f t="shared" si="134"/>
        <v>1</v>
      </c>
      <c r="GA18" s="1">
        <f t="shared" si="134"/>
        <v>4</v>
      </c>
      <c r="GB18" s="1"/>
      <c r="GC18" s="1">
        <f t="shared" ref="GC18:GG18" si="135">AVERAGE(GC17)</f>
        <v>4</v>
      </c>
      <c r="GD18" s="1">
        <f t="shared" si="135"/>
        <v>2</v>
      </c>
      <c r="GE18" s="1">
        <f t="shared" si="135"/>
        <v>4</v>
      </c>
      <c r="GF18" s="1">
        <f t="shared" si="135"/>
        <v>3</v>
      </c>
      <c r="GG18" s="1">
        <f t="shared" si="135"/>
        <v>1</v>
      </c>
      <c r="GH18" s="1"/>
      <c r="GI18" s="1">
        <f t="shared" ref="GI18:GM18" si="136">AVERAGE(GI17)</f>
        <v>1</v>
      </c>
      <c r="GJ18" s="1">
        <f t="shared" si="136"/>
        <v>1</v>
      </c>
      <c r="GK18" s="1">
        <f t="shared" si="136"/>
        <v>1</v>
      </c>
      <c r="GL18" s="1">
        <f t="shared" si="136"/>
        <v>1</v>
      </c>
      <c r="GM18" s="1">
        <f t="shared" si="136"/>
        <v>1</v>
      </c>
      <c r="GN18" s="1"/>
      <c r="GO18" s="1">
        <f t="shared" ref="GO18:GS18" si="137">AVERAGE(GO17)</f>
        <v>2</v>
      </c>
      <c r="GP18" s="1">
        <f t="shared" si="137"/>
        <v>2</v>
      </c>
      <c r="GQ18" s="1">
        <f t="shared" si="137"/>
        <v>2</v>
      </c>
      <c r="GR18" s="1">
        <f t="shared" si="137"/>
        <v>1</v>
      </c>
      <c r="GS18" s="1">
        <f t="shared" si="137"/>
        <v>2</v>
      </c>
      <c r="GT18" s="1"/>
      <c r="GU18" s="1">
        <f t="shared" ref="GU18:GY18" si="138">AVERAGE(GU17)</f>
        <v>2</v>
      </c>
      <c r="GV18" s="1">
        <f t="shared" si="138"/>
        <v>3</v>
      </c>
      <c r="GW18" s="1">
        <f t="shared" si="138"/>
        <v>5</v>
      </c>
      <c r="GX18" s="1">
        <f t="shared" si="138"/>
        <v>3</v>
      </c>
      <c r="GY18" s="1">
        <f t="shared" si="138"/>
        <v>1</v>
      </c>
      <c r="GZ18" s="1"/>
      <c r="HA18" s="1">
        <f t="shared" ref="HA18:HE18" si="139">AVERAGE(HA17)</f>
        <v>3</v>
      </c>
      <c r="HB18" s="1">
        <f t="shared" si="139"/>
        <v>3</v>
      </c>
      <c r="HC18" s="1">
        <f t="shared" si="139"/>
        <v>2</v>
      </c>
      <c r="HD18" s="1">
        <f t="shared" si="139"/>
        <v>2</v>
      </c>
      <c r="HE18" s="1">
        <f t="shared" si="139"/>
        <v>3</v>
      </c>
    </row>
    <row r="19" spans="1:213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</row>
    <row r="20" spans="1:213" x14ac:dyDescent="0.25">
      <c r="A20" t="s">
        <v>193</v>
      </c>
      <c r="B20" t="s">
        <v>1</v>
      </c>
      <c r="C20">
        <v>8813</v>
      </c>
      <c r="E20" s="1">
        <v>2</v>
      </c>
      <c r="F20" s="1">
        <v>1</v>
      </c>
      <c r="G20" s="1">
        <v>2</v>
      </c>
      <c r="H20" s="1">
        <v>1</v>
      </c>
      <c r="I20" s="1">
        <v>1</v>
      </c>
      <c r="J20" s="1"/>
      <c r="K20" s="1">
        <v>4</v>
      </c>
      <c r="L20" s="1">
        <v>4</v>
      </c>
      <c r="M20" s="1">
        <v>2</v>
      </c>
      <c r="N20" s="1">
        <v>4</v>
      </c>
      <c r="O20" s="1">
        <v>3</v>
      </c>
      <c r="P20" s="1"/>
      <c r="Q20" s="1">
        <v>2</v>
      </c>
      <c r="R20" s="1">
        <v>2</v>
      </c>
      <c r="S20" s="1">
        <v>2</v>
      </c>
      <c r="T20" s="1">
        <v>2</v>
      </c>
      <c r="U20" s="1">
        <v>4</v>
      </c>
      <c r="V20" s="1"/>
      <c r="W20" s="1">
        <v>3</v>
      </c>
      <c r="X20" s="1">
        <v>4</v>
      </c>
      <c r="Y20" s="1">
        <v>4</v>
      </c>
      <c r="Z20" s="1">
        <v>3</v>
      </c>
      <c r="AA20" s="1">
        <v>4</v>
      </c>
      <c r="AB20" s="1"/>
      <c r="AC20" s="1">
        <v>2</v>
      </c>
      <c r="AD20" s="1">
        <v>2</v>
      </c>
      <c r="AE20" s="1">
        <v>2</v>
      </c>
      <c r="AF20" s="1">
        <v>1</v>
      </c>
      <c r="AG20" s="1">
        <v>5</v>
      </c>
      <c r="AH20" s="1"/>
      <c r="AI20" s="1">
        <v>1</v>
      </c>
      <c r="AJ20" s="1">
        <v>1</v>
      </c>
      <c r="AK20" s="1">
        <v>3</v>
      </c>
      <c r="AL20" s="1">
        <v>4</v>
      </c>
      <c r="AM20" s="1">
        <v>4</v>
      </c>
      <c r="AN20" s="1"/>
      <c r="AO20" s="1">
        <v>4</v>
      </c>
      <c r="AP20" s="1">
        <v>3</v>
      </c>
      <c r="AQ20" s="1">
        <v>2</v>
      </c>
      <c r="AR20" s="1">
        <v>3</v>
      </c>
      <c r="AS20" s="1">
        <v>2</v>
      </c>
      <c r="AT20" s="1"/>
      <c r="AU20" s="1">
        <v>5</v>
      </c>
      <c r="AV20" s="1">
        <v>1</v>
      </c>
      <c r="AW20" s="1">
        <v>3</v>
      </c>
      <c r="AX20" s="1">
        <v>1</v>
      </c>
      <c r="AY20" s="1">
        <v>1</v>
      </c>
      <c r="AZ20" s="1"/>
      <c r="BA20" s="1">
        <v>4</v>
      </c>
      <c r="BB20" s="1">
        <v>2</v>
      </c>
      <c r="BC20" s="1">
        <v>4</v>
      </c>
      <c r="BD20" s="1">
        <v>4</v>
      </c>
      <c r="BE20" s="1">
        <v>2</v>
      </c>
      <c r="BF20" s="1"/>
      <c r="BG20" s="1">
        <v>3</v>
      </c>
      <c r="BH20" s="1">
        <v>4</v>
      </c>
      <c r="BI20" s="1">
        <v>1</v>
      </c>
      <c r="BJ20" s="1">
        <v>3</v>
      </c>
      <c r="BK20" s="1">
        <v>3</v>
      </c>
      <c r="BL20" s="1"/>
      <c r="BM20" s="1">
        <v>3</v>
      </c>
      <c r="BN20" s="1">
        <v>1</v>
      </c>
      <c r="BO20" s="1">
        <v>4</v>
      </c>
      <c r="BP20" s="1">
        <v>3</v>
      </c>
      <c r="BQ20" s="1">
        <v>2</v>
      </c>
      <c r="BR20" s="1"/>
      <c r="BS20" s="1">
        <v>3</v>
      </c>
      <c r="BT20" s="1">
        <v>2</v>
      </c>
      <c r="BU20" s="1">
        <v>1</v>
      </c>
      <c r="BV20" s="1">
        <v>2</v>
      </c>
      <c r="BW20" s="1">
        <v>4</v>
      </c>
      <c r="BX20" s="1"/>
      <c r="BY20" s="1">
        <v>2</v>
      </c>
      <c r="BZ20" s="1">
        <v>2</v>
      </c>
      <c r="CA20" s="1">
        <v>3</v>
      </c>
      <c r="CB20" s="1">
        <v>4</v>
      </c>
      <c r="CC20" s="1">
        <v>3</v>
      </c>
      <c r="CD20" s="1"/>
      <c r="CE20" s="1">
        <v>3</v>
      </c>
      <c r="CF20" s="1">
        <v>2</v>
      </c>
      <c r="CG20" s="1">
        <v>2</v>
      </c>
      <c r="CH20" s="1">
        <v>2</v>
      </c>
      <c r="CI20" s="1">
        <v>4</v>
      </c>
      <c r="CJ20" s="1"/>
      <c r="CK20" s="1">
        <v>3</v>
      </c>
      <c r="CL20" s="1">
        <v>4</v>
      </c>
      <c r="CM20" s="1">
        <v>3</v>
      </c>
      <c r="CN20" s="1">
        <v>3</v>
      </c>
      <c r="CO20" s="1">
        <v>4</v>
      </c>
      <c r="CP20" s="1"/>
      <c r="CQ20" s="1">
        <v>4</v>
      </c>
      <c r="CR20" s="1">
        <v>3</v>
      </c>
      <c r="CS20" s="1">
        <v>1</v>
      </c>
      <c r="CT20" s="1">
        <v>3</v>
      </c>
      <c r="CU20" s="1">
        <v>1</v>
      </c>
      <c r="CV20" s="1"/>
      <c r="CW20" s="1">
        <v>3</v>
      </c>
      <c r="CX20" s="1">
        <v>2</v>
      </c>
      <c r="CY20" s="1">
        <v>2</v>
      </c>
      <c r="CZ20" s="1">
        <v>4</v>
      </c>
      <c r="DA20" s="1">
        <v>3</v>
      </c>
      <c r="DB20" s="1"/>
      <c r="DC20" s="1">
        <v>2</v>
      </c>
      <c r="DD20" s="1">
        <v>2</v>
      </c>
      <c r="DE20" s="1">
        <v>4</v>
      </c>
      <c r="DF20" s="1">
        <v>2</v>
      </c>
      <c r="DG20" s="1">
        <v>2</v>
      </c>
      <c r="DH20" s="1"/>
      <c r="DI20" s="1">
        <v>3</v>
      </c>
      <c r="DJ20" s="1">
        <v>2</v>
      </c>
      <c r="DK20" s="1">
        <v>4</v>
      </c>
      <c r="DL20" s="1">
        <v>2</v>
      </c>
      <c r="DM20" s="1">
        <v>3</v>
      </c>
      <c r="DN20" s="1"/>
      <c r="DO20" s="1">
        <v>2</v>
      </c>
      <c r="DP20" s="1">
        <v>1</v>
      </c>
      <c r="DQ20" s="1">
        <v>2</v>
      </c>
      <c r="DR20" s="1">
        <v>2</v>
      </c>
      <c r="DS20" s="1">
        <v>3</v>
      </c>
      <c r="DT20" s="1"/>
      <c r="DU20" s="1">
        <v>4</v>
      </c>
      <c r="DV20" s="1">
        <v>4</v>
      </c>
      <c r="DW20" s="1">
        <v>4</v>
      </c>
      <c r="DX20" s="1">
        <v>4</v>
      </c>
      <c r="DY20" s="1">
        <v>3</v>
      </c>
      <c r="DZ20" s="1"/>
      <c r="EA20" s="1">
        <v>4</v>
      </c>
      <c r="EB20" s="1">
        <v>2</v>
      </c>
      <c r="EC20" s="1">
        <v>3</v>
      </c>
      <c r="ED20" s="1">
        <v>2</v>
      </c>
      <c r="EE20" s="1">
        <v>4</v>
      </c>
      <c r="EF20" s="1"/>
      <c r="EG20" s="1">
        <v>3</v>
      </c>
      <c r="EH20" s="1">
        <v>2</v>
      </c>
      <c r="EI20" s="1">
        <v>5</v>
      </c>
      <c r="EJ20" s="1">
        <v>4</v>
      </c>
      <c r="EK20" s="1">
        <v>5</v>
      </c>
      <c r="EL20" s="1"/>
      <c r="EM20" s="1">
        <v>5</v>
      </c>
      <c r="EN20" s="1">
        <v>3</v>
      </c>
      <c r="EO20" s="1">
        <v>5</v>
      </c>
      <c r="EP20" s="1">
        <v>3</v>
      </c>
      <c r="EQ20" s="1">
        <v>2</v>
      </c>
      <c r="ER20" s="1"/>
      <c r="ES20" s="1">
        <v>2</v>
      </c>
      <c r="ET20" s="1">
        <v>2</v>
      </c>
      <c r="EU20" s="1">
        <v>3</v>
      </c>
      <c r="EV20" s="1">
        <v>4</v>
      </c>
      <c r="EW20" s="1">
        <v>4</v>
      </c>
      <c r="EX20" s="1"/>
      <c r="EY20" s="1">
        <v>3</v>
      </c>
      <c r="EZ20" s="1">
        <v>2</v>
      </c>
      <c r="FA20" s="1">
        <v>2</v>
      </c>
      <c r="FB20" s="1">
        <v>1</v>
      </c>
      <c r="FC20" s="1">
        <v>3</v>
      </c>
      <c r="FD20" s="1"/>
      <c r="FE20" s="1">
        <v>2</v>
      </c>
      <c r="FF20" s="1">
        <v>1</v>
      </c>
      <c r="FG20" s="1">
        <v>2</v>
      </c>
      <c r="FH20" s="1">
        <v>3</v>
      </c>
      <c r="FI20" s="1">
        <v>1</v>
      </c>
      <c r="FJ20" s="1"/>
      <c r="FK20" s="1">
        <v>3</v>
      </c>
      <c r="FL20" s="1">
        <v>1</v>
      </c>
      <c r="FM20" s="1">
        <v>4</v>
      </c>
      <c r="FN20" s="1">
        <v>2</v>
      </c>
      <c r="FO20" s="1">
        <v>2</v>
      </c>
      <c r="FP20" s="1"/>
      <c r="FQ20" s="1">
        <v>2</v>
      </c>
      <c r="FR20" s="1">
        <v>2</v>
      </c>
      <c r="FS20" s="1">
        <v>2</v>
      </c>
      <c r="FT20" s="1">
        <v>2</v>
      </c>
      <c r="FU20" s="1">
        <v>2</v>
      </c>
      <c r="FV20" s="1"/>
      <c r="FW20" s="1">
        <v>3</v>
      </c>
      <c r="FX20" s="1">
        <v>3</v>
      </c>
      <c r="FY20" s="1">
        <v>1</v>
      </c>
      <c r="FZ20" s="1">
        <v>2</v>
      </c>
      <c r="GA20" s="1">
        <v>3</v>
      </c>
      <c r="GB20" s="1"/>
      <c r="GC20" s="1">
        <v>2</v>
      </c>
      <c r="GD20" s="1">
        <v>2</v>
      </c>
      <c r="GE20" s="1">
        <v>3</v>
      </c>
      <c r="GF20" s="1">
        <v>3</v>
      </c>
      <c r="GG20" s="1">
        <v>1</v>
      </c>
      <c r="GH20" s="1"/>
      <c r="GI20" s="1">
        <v>3</v>
      </c>
      <c r="GJ20" s="1">
        <v>4</v>
      </c>
      <c r="GK20" s="1">
        <v>3</v>
      </c>
      <c r="GL20" s="1">
        <v>3</v>
      </c>
      <c r="GM20" s="1">
        <v>2</v>
      </c>
      <c r="GN20" s="1"/>
      <c r="GO20" s="1">
        <v>3</v>
      </c>
      <c r="GP20" s="1">
        <v>3</v>
      </c>
      <c r="GQ20" s="1">
        <v>3</v>
      </c>
      <c r="GR20" s="1">
        <v>3</v>
      </c>
      <c r="GS20" s="1">
        <v>3</v>
      </c>
      <c r="GT20" s="1"/>
      <c r="GU20" s="1">
        <v>3</v>
      </c>
      <c r="GV20" s="1">
        <v>2</v>
      </c>
      <c r="GW20" s="1">
        <v>4</v>
      </c>
      <c r="GX20" s="1">
        <v>2</v>
      </c>
      <c r="GY20" s="1">
        <v>4</v>
      </c>
      <c r="GZ20" s="1"/>
      <c r="HA20" s="1">
        <v>3</v>
      </c>
      <c r="HB20" s="1">
        <v>2</v>
      </c>
      <c r="HC20" s="1">
        <v>4</v>
      </c>
      <c r="HD20" s="1">
        <v>4</v>
      </c>
      <c r="HE20" s="1">
        <v>4</v>
      </c>
    </row>
    <row r="21" spans="1:213" x14ac:dyDescent="0.25">
      <c r="A21" t="s">
        <v>194</v>
      </c>
      <c r="B21" t="s">
        <v>1</v>
      </c>
      <c r="C21">
        <v>8006</v>
      </c>
      <c r="E21" s="1">
        <v>3</v>
      </c>
      <c r="F21" s="1">
        <v>2</v>
      </c>
      <c r="G21" s="1">
        <v>2</v>
      </c>
      <c r="H21" s="1">
        <v>2</v>
      </c>
      <c r="I21" s="1">
        <v>1</v>
      </c>
      <c r="J21" s="1"/>
      <c r="K21" s="1">
        <v>4</v>
      </c>
      <c r="L21" s="1">
        <v>4</v>
      </c>
      <c r="M21" s="1">
        <v>3</v>
      </c>
      <c r="N21" s="1">
        <v>3</v>
      </c>
      <c r="O21" s="1">
        <v>2</v>
      </c>
      <c r="P21" s="1"/>
      <c r="Q21" s="1">
        <v>2</v>
      </c>
      <c r="R21" s="1">
        <v>3</v>
      </c>
      <c r="S21" s="1">
        <v>3</v>
      </c>
      <c r="T21" s="1">
        <v>2</v>
      </c>
      <c r="U21" s="1">
        <v>4</v>
      </c>
      <c r="V21" s="1"/>
      <c r="W21" s="1">
        <v>3</v>
      </c>
      <c r="X21" s="1">
        <v>3</v>
      </c>
      <c r="Y21" s="1">
        <v>4</v>
      </c>
      <c r="Z21" s="1">
        <v>3</v>
      </c>
      <c r="AA21" s="1">
        <v>2</v>
      </c>
      <c r="AB21" s="1"/>
      <c r="AC21" s="1">
        <v>3</v>
      </c>
      <c r="AD21" s="1">
        <v>2</v>
      </c>
      <c r="AE21" s="1">
        <v>2</v>
      </c>
      <c r="AF21" s="1">
        <v>2</v>
      </c>
      <c r="AG21" s="1">
        <v>3</v>
      </c>
      <c r="AH21" s="1"/>
      <c r="AI21" s="1">
        <v>1</v>
      </c>
      <c r="AJ21" s="1">
        <v>1</v>
      </c>
      <c r="AK21" s="1">
        <v>3</v>
      </c>
      <c r="AL21" s="1">
        <v>3</v>
      </c>
      <c r="AM21" s="1">
        <v>3</v>
      </c>
      <c r="AN21" s="1"/>
      <c r="AO21" s="1">
        <v>2</v>
      </c>
      <c r="AP21" s="1">
        <v>3</v>
      </c>
      <c r="AQ21" s="1">
        <v>1</v>
      </c>
      <c r="AR21" s="1">
        <v>2</v>
      </c>
      <c r="AS21" s="1">
        <v>1</v>
      </c>
      <c r="AT21" s="1"/>
      <c r="AU21" s="1">
        <v>3</v>
      </c>
      <c r="AV21" s="1">
        <v>3</v>
      </c>
      <c r="AW21" s="1">
        <v>2</v>
      </c>
      <c r="AX21" s="1">
        <v>2</v>
      </c>
      <c r="AY21" s="1">
        <v>2</v>
      </c>
      <c r="AZ21" s="1"/>
      <c r="BA21" s="1">
        <v>2</v>
      </c>
      <c r="BB21" s="1">
        <v>2</v>
      </c>
      <c r="BC21" s="1">
        <v>3</v>
      </c>
      <c r="BD21" s="1">
        <v>3</v>
      </c>
      <c r="BE21" s="1">
        <v>4</v>
      </c>
      <c r="BF21" s="1"/>
      <c r="BG21" s="1">
        <v>2</v>
      </c>
      <c r="BH21" s="1">
        <v>2</v>
      </c>
      <c r="BI21" s="1">
        <v>2</v>
      </c>
      <c r="BJ21" s="1">
        <v>2</v>
      </c>
      <c r="BK21" s="1">
        <v>2</v>
      </c>
      <c r="BL21" s="1"/>
      <c r="BM21" s="1">
        <v>2</v>
      </c>
      <c r="BN21" s="1">
        <v>1</v>
      </c>
      <c r="BO21" s="1">
        <v>3</v>
      </c>
      <c r="BP21" s="1">
        <v>1</v>
      </c>
      <c r="BQ21" s="1">
        <v>1</v>
      </c>
      <c r="BR21" s="1"/>
      <c r="BS21" s="1">
        <v>2</v>
      </c>
      <c r="BT21" s="1">
        <v>3</v>
      </c>
      <c r="BU21" s="1">
        <v>2</v>
      </c>
      <c r="BV21" s="1">
        <v>3</v>
      </c>
      <c r="BW21" s="1">
        <v>3</v>
      </c>
      <c r="BX21" s="1"/>
      <c r="BY21" s="1">
        <v>2</v>
      </c>
      <c r="BZ21" s="1">
        <v>2</v>
      </c>
      <c r="CA21" s="1">
        <v>2</v>
      </c>
      <c r="CB21" s="1">
        <v>3</v>
      </c>
      <c r="CC21" s="1">
        <v>3</v>
      </c>
      <c r="CD21" s="1"/>
      <c r="CE21" s="1">
        <v>4</v>
      </c>
      <c r="CF21" s="1">
        <v>2</v>
      </c>
      <c r="CG21" s="1">
        <v>1</v>
      </c>
      <c r="CH21" s="1">
        <v>2</v>
      </c>
      <c r="CI21" s="1">
        <v>4</v>
      </c>
      <c r="CJ21" s="1"/>
      <c r="CK21" s="1">
        <v>2</v>
      </c>
      <c r="CL21" s="1">
        <v>2</v>
      </c>
      <c r="CM21" s="1">
        <v>3</v>
      </c>
      <c r="CN21" s="1">
        <v>3</v>
      </c>
      <c r="CO21" s="1">
        <v>3</v>
      </c>
      <c r="CP21" s="1"/>
      <c r="CQ21" s="1">
        <v>4</v>
      </c>
      <c r="CR21" s="1">
        <v>3</v>
      </c>
      <c r="CS21" s="1">
        <v>1</v>
      </c>
      <c r="CT21" s="1">
        <v>3</v>
      </c>
      <c r="CU21" s="1">
        <v>1</v>
      </c>
      <c r="CV21" s="1"/>
      <c r="CW21" s="1">
        <v>3</v>
      </c>
      <c r="CX21" s="1">
        <v>2</v>
      </c>
      <c r="CY21" s="1">
        <v>2</v>
      </c>
      <c r="CZ21" s="1">
        <v>1</v>
      </c>
      <c r="DA21" s="1">
        <v>4</v>
      </c>
      <c r="DB21" s="1"/>
      <c r="DC21" s="1">
        <v>3</v>
      </c>
      <c r="DD21" s="1">
        <v>2</v>
      </c>
      <c r="DE21" s="1">
        <v>4</v>
      </c>
      <c r="DF21" s="1">
        <v>2</v>
      </c>
      <c r="DG21" s="1">
        <v>1</v>
      </c>
      <c r="DH21" s="1"/>
      <c r="DI21" s="1">
        <v>2</v>
      </c>
      <c r="DJ21" s="1">
        <v>2</v>
      </c>
      <c r="DK21" s="1">
        <v>3</v>
      </c>
      <c r="DL21" s="1">
        <v>2</v>
      </c>
      <c r="DM21" s="1">
        <v>3</v>
      </c>
      <c r="DN21" s="1"/>
      <c r="DO21" s="1">
        <v>2</v>
      </c>
      <c r="DP21" s="1">
        <v>2</v>
      </c>
      <c r="DQ21" s="1">
        <v>2</v>
      </c>
      <c r="DR21" s="1">
        <v>2</v>
      </c>
      <c r="DS21" s="1">
        <v>2</v>
      </c>
      <c r="DT21" s="1"/>
      <c r="DU21" s="1">
        <v>3</v>
      </c>
      <c r="DV21" s="1">
        <v>2</v>
      </c>
      <c r="DW21" s="1">
        <v>4</v>
      </c>
      <c r="DX21" s="1">
        <v>2</v>
      </c>
      <c r="DY21" s="1">
        <v>3</v>
      </c>
      <c r="DZ21" s="1"/>
      <c r="EA21" s="1">
        <v>4</v>
      </c>
      <c r="EB21" s="1">
        <v>2</v>
      </c>
      <c r="EC21" s="1">
        <v>3</v>
      </c>
      <c r="ED21" s="1">
        <v>2</v>
      </c>
      <c r="EE21" s="1">
        <v>3</v>
      </c>
      <c r="EF21" s="1"/>
      <c r="EG21" s="1">
        <v>3</v>
      </c>
      <c r="EH21" s="1">
        <v>2</v>
      </c>
      <c r="EI21" s="1">
        <v>2</v>
      </c>
      <c r="EJ21" s="1">
        <v>3</v>
      </c>
      <c r="EK21" s="1">
        <v>2</v>
      </c>
      <c r="EL21" s="1"/>
      <c r="EM21" s="1">
        <v>3</v>
      </c>
      <c r="EN21" s="1">
        <v>2</v>
      </c>
      <c r="EO21" s="1">
        <v>3</v>
      </c>
      <c r="EP21" s="1">
        <v>1</v>
      </c>
      <c r="EQ21" s="1">
        <v>3</v>
      </c>
      <c r="ER21" s="1"/>
      <c r="ES21" s="1">
        <v>2</v>
      </c>
      <c r="ET21" s="1">
        <v>1</v>
      </c>
      <c r="EU21" s="1">
        <v>2</v>
      </c>
      <c r="EV21" s="1">
        <v>2</v>
      </c>
      <c r="EW21" s="1">
        <v>1</v>
      </c>
      <c r="EX21" s="1"/>
      <c r="EY21" s="1">
        <v>5</v>
      </c>
      <c r="EZ21" s="1">
        <v>2</v>
      </c>
      <c r="FA21" s="1">
        <v>4</v>
      </c>
      <c r="FB21" s="1">
        <v>2</v>
      </c>
      <c r="FC21" s="1">
        <v>3</v>
      </c>
      <c r="FD21" s="1"/>
      <c r="FE21" s="1">
        <v>2</v>
      </c>
      <c r="FF21" s="1">
        <v>2</v>
      </c>
      <c r="FG21" s="1">
        <v>2</v>
      </c>
      <c r="FH21" s="1">
        <v>3</v>
      </c>
      <c r="FI21" s="1">
        <v>1</v>
      </c>
      <c r="FJ21" s="1"/>
      <c r="FK21" s="1">
        <v>2</v>
      </c>
      <c r="FL21" s="1">
        <v>2</v>
      </c>
      <c r="FM21" s="1">
        <v>4</v>
      </c>
      <c r="FN21" s="1">
        <v>2</v>
      </c>
      <c r="FO21" s="1">
        <v>4</v>
      </c>
      <c r="FP21" s="1"/>
      <c r="FQ21" s="1">
        <v>1</v>
      </c>
      <c r="FR21" s="1">
        <v>2</v>
      </c>
      <c r="FS21" s="1">
        <v>3</v>
      </c>
      <c r="FT21" s="1">
        <v>2</v>
      </c>
      <c r="FU21" s="1">
        <v>1</v>
      </c>
      <c r="FV21" s="1"/>
      <c r="FW21" s="1">
        <v>1</v>
      </c>
      <c r="FX21" s="1">
        <v>1</v>
      </c>
      <c r="FY21" s="1">
        <v>2</v>
      </c>
      <c r="FZ21" s="1">
        <v>2</v>
      </c>
      <c r="GA21" s="1">
        <v>3</v>
      </c>
      <c r="GB21" s="1"/>
      <c r="GC21" s="1">
        <v>2</v>
      </c>
      <c r="GD21" s="1">
        <v>2</v>
      </c>
      <c r="GE21" s="1">
        <v>2</v>
      </c>
      <c r="GF21" s="1">
        <v>2</v>
      </c>
      <c r="GG21" s="1">
        <v>1</v>
      </c>
      <c r="GH21" s="1"/>
      <c r="GI21" s="1">
        <v>3</v>
      </c>
      <c r="GJ21" s="1">
        <v>3</v>
      </c>
      <c r="GK21" s="1">
        <v>3</v>
      </c>
      <c r="GL21" s="1">
        <v>3</v>
      </c>
      <c r="GM21" s="1">
        <v>2</v>
      </c>
      <c r="GN21" s="1"/>
      <c r="GO21" s="1">
        <v>2</v>
      </c>
      <c r="GP21" s="1">
        <v>3</v>
      </c>
      <c r="GQ21" s="1">
        <v>3</v>
      </c>
      <c r="GR21" s="1">
        <v>3</v>
      </c>
      <c r="GS21" s="1">
        <v>2</v>
      </c>
      <c r="GT21" s="1"/>
      <c r="GU21" s="1">
        <v>3</v>
      </c>
      <c r="GV21" s="1">
        <v>2</v>
      </c>
      <c r="GW21" s="1">
        <v>3</v>
      </c>
      <c r="GX21" s="1">
        <v>3</v>
      </c>
      <c r="GY21" s="1">
        <v>3</v>
      </c>
      <c r="GZ21" s="1"/>
      <c r="HA21" s="1">
        <v>3</v>
      </c>
      <c r="HB21" s="1">
        <v>4</v>
      </c>
      <c r="HC21" s="1">
        <v>3</v>
      </c>
      <c r="HD21" s="1">
        <v>3</v>
      </c>
      <c r="HE21" s="1">
        <v>2</v>
      </c>
    </row>
    <row r="22" spans="1:213" x14ac:dyDescent="0.25">
      <c r="A22" t="s">
        <v>184</v>
      </c>
      <c r="E22" s="1">
        <f t="shared" ref="E22:I22" si="140">AVERAGE(E20:E21)</f>
        <v>2.5</v>
      </c>
      <c r="F22" s="1">
        <f t="shared" si="140"/>
        <v>1.5</v>
      </c>
      <c r="G22" s="1">
        <f t="shared" si="140"/>
        <v>2</v>
      </c>
      <c r="H22" s="1">
        <f t="shared" si="140"/>
        <v>1.5</v>
      </c>
      <c r="I22" s="1">
        <f t="shared" si="140"/>
        <v>1</v>
      </c>
      <c r="J22" s="1"/>
      <c r="K22" s="1">
        <f t="shared" ref="K22:O22" si="141">AVERAGE(K20:K21)</f>
        <v>4</v>
      </c>
      <c r="L22" s="1">
        <f t="shared" si="141"/>
        <v>4</v>
      </c>
      <c r="M22" s="1">
        <f t="shared" si="141"/>
        <v>2.5</v>
      </c>
      <c r="N22" s="1">
        <f t="shared" si="141"/>
        <v>3.5</v>
      </c>
      <c r="O22" s="1">
        <f t="shared" si="141"/>
        <v>2.5</v>
      </c>
      <c r="P22" s="1"/>
      <c r="Q22" s="1">
        <f t="shared" ref="Q22:U22" si="142">AVERAGE(Q20:Q21)</f>
        <v>2</v>
      </c>
      <c r="R22" s="1">
        <f t="shared" si="142"/>
        <v>2.5</v>
      </c>
      <c r="S22" s="1">
        <f t="shared" si="142"/>
        <v>2.5</v>
      </c>
      <c r="T22" s="1">
        <f t="shared" si="142"/>
        <v>2</v>
      </c>
      <c r="U22" s="1">
        <f t="shared" si="142"/>
        <v>4</v>
      </c>
      <c r="V22" s="1"/>
      <c r="W22" s="1">
        <f t="shared" ref="W22:AA22" si="143">AVERAGE(W20:W21)</f>
        <v>3</v>
      </c>
      <c r="X22" s="1">
        <f t="shared" si="143"/>
        <v>3.5</v>
      </c>
      <c r="Y22" s="1">
        <f t="shared" si="143"/>
        <v>4</v>
      </c>
      <c r="Z22" s="1">
        <f t="shared" si="143"/>
        <v>3</v>
      </c>
      <c r="AA22" s="1">
        <f t="shared" si="143"/>
        <v>3</v>
      </c>
      <c r="AB22" s="1"/>
      <c r="AC22" s="1">
        <f t="shared" ref="AC22:AG22" si="144">AVERAGE(AC20:AC21)</f>
        <v>2.5</v>
      </c>
      <c r="AD22" s="1">
        <f t="shared" si="144"/>
        <v>2</v>
      </c>
      <c r="AE22" s="1">
        <f t="shared" si="144"/>
        <v>2</v>
      </c>
      <c r="AF22" s="1">
        <f t="shared" si="144"/>
        <v>1.5</v>
      </c>
      <c r="AG22" s="1">
        <f t="shared" si="144"/>
        <v>4</v>
      </c>
      <c r="AH22" s="1"/>
      <c r="AI22" s="1">
        <f t="shared" ref="AI22:AM22" si="145">AVERAGE(AI20:AI21)</f>
        <v>1</v>
      </c>
      <c r="AJ22" s="1">
        <f t="shared" si="145"/>
        <v>1</v>
      </c>
      <c r="AK22" s="1">
        <f t="shared" si="145"/>
        <v>3</v>
      </c>
      <c r="AL22" s="1">
        <f t="shared" si="145"/>
        <v>3.5</v>
      </c>
      <c r="AM22" s="1">
        <f t="shared" si="145"/>
        <v>3.5</v>
      </c>
      <c r="AN22" s="1"/>
      <c r="AO22" s="1">
        <f t="shared" ref="AO22:AS22" si="146">AVERAGE(AO20:AO21)</f>
        <v>3</v>
      </c>
      <c r="AP22" s="1">
        <f t="shared" si="146"/>
        <v>3</v>
      </c>
      <c r="AQ22" s="1">
        <f t="shared" si="146"/>
        <v>1.5</v>
      </c>
      <c r="AR22" s="1">
        <f t="shared" si="146"/>
        <v>2.5</v>
      </c>
      <c r="AS22" s="1">
        <f t="shared" si="146"/>
        <v>1.5</v>
      </c>
      <c r="AT22" s="1"/>
      <c r="AU22" s="1">
        <f t="shared" ref="AU22:AY22" si="147">AVERAGE(AU20:AU21)</f>
        <v>4</v>
      </c>
      <c r="AV22" s="1">
        <f t="shared" si="147"/>
        <v>2</v>
      </c>
      <c r="AW22" s="1">
        <f t="shared" si="147"/>
        <v>2.5</v>
      </c>
      <c r="AX22" s="1">
        <f t="shared" si="147"/>
        <v>1.5</v>
      </c>
      <c r="AY22" s="1">
        <f t="shared" si="147"/>
        <v>1.5</v>
      </c>
      <c r="AZ22" s="1"/>
      <c r="BA22" s="1">
        <f t="shared" ref="BA22:BE22" si="148">AVERAGE(BA20:BA21)</f>
        <v>3</v>
      </c>
      <c r="BB22" s="1">
        <f t="shared" si="148"/>
        <v>2</v>
      </c>
      <c r="BC22" s="1">
        <f t="shared" si="148"/>
        <v>3.5</v>
      </c>
      <c r="BD22" s="1">
        <f t="shared" si="148"/>
        <v>3.5</v>
      </c>
      <c r="BE22" s="1">
        <f t="shared" si="148"/>
        <v>3</v>
      </c>
      <c r="BF22" s="1"/>
      <c r="BG22" s="1">
        <f t="shared" ref="BG22:BK22" si="149">AVERAGE(BG20:BG21)</f>
        <v>2.5</v>
      </c>
      <c r="BH22" s="1">
        <f t="shared" si="149"/>
        <v>3</v>
      </c>
      <c r="BI22" s="1">
        <f t="shared" si="149"/>
        <v>1.5</v>
      </c>
      <c r="BJ22" s="1">
        <f t="shared" si="149"/>
        <v>2.5</v>
      </c>
      <c r="BK22" s="1">
        <f t="shared" si="149"/>
        <v>2.5</v>
      </c>
      <c r="BL22" s="1"/>
      <c r="BM22" s="1">
        <f t="shared" ref="BM22:BQ22" si="150">AVERAGE(BM20:BM21)</f>
        <v>2.5</v>
      </c>
      <c r="BN22" s="1">
        <f t="shared" si="150"/>
        <v>1</v>
      </c>
      <c r="BO22" s="1">
        <f t="shared" si="150"/>
        <v>3.5</v>
      </c>
      <c r="BP22" s="1">
        <f t="shared" si="150"/>
        <v>2</v>
      </c>
      <c r="BQ22" s="1">
        <f t="shared" si="150"/>
        <v>1.5</v>
      </c>
      <c r="BR22" s="1"/>
      <c r="BS22" s="1">
        <f t="shared" ref="BS22:BW22" si="151">AVERAGE(BS20:BS21)</f>
        <v>2.5</v>
      </c>
      <c r="BT22" s="1">
        <f t="shared" si="151"/>
        <v>2.5</v>
      </c>
      <c r="BU22" s="1">
        <f t="shared" si="151"/>
        <v>1.5</v>
      </c>
      <c r="BV22" s="1">
        <f t="shared" si="151"/>
        <v>2.5</v>
      </c>
      <c r="BW22" s="1">
        <f t="shared" si="151"/>
        <v>3.5</v>
      </c>
      <c r="BX22" s="1"/>
      <c r="BY22" s="1">
        <f t="shared" ref="BY22:CC22" si="152">AVERAGE(BY20:BY21)</f>
        <v>2</v>
      </c>
      <c r="BZ22" s="1">
        <f t="shared" si="152"/>
        <v>2</v>
      </c>
      <c r="CA22" s="1">
        <f t="shared" si="152"/>
        <v>2.5</v>
      </c>
      <c r="CB22" s="1">
        <f t="shared" si="152"/>
        <v>3.5</v>
      </c>
      <c r="CC22" s="1">
        <f t="shared" si="152"/>
        <v>3</v>
      </c>
      <c r="CD22" s="1"/>
      <c r="CE22" s="1">
        <f t="shared" ref="CE22:CI22" si="153">AVERAGE(CE20:CE21)</f>
        <v>3.5</v>
      </c>
      <c r="CF22" s="1">
        <f t="shared" si="153"/>
        <v>2</v>
      </c>
      <c r="CG22" s="1">
        <f t="shared" si="153"/>
        <v>1.5</v>
      </c>
      <c r="CH22" s="1">
        <f t="shared" si="153"/>
        <v>2</v>
      </c>
      <c r="CI22" s="1">
        <f t="shared" si="153"/>
        <v>4</v>
      </c>
      <c r="CJ22" s="1"/>
      <c r="CK22" s="1">
        <f t="shared" ref="CK22:CO22" si="154">AVERAGE(CK20:CK21)</f>
        <v>2.5</v>
      </c>
      <c r="CL22" s="1">
        <f t="shared" si="154"/>
        <v>3</v>
      </c>
      <c r="CM22" s="1">
        <f t="shared" si="154"/>
        <v>3</v>
      </c>
      <c r="CN22" s="1">
        <f t="shared" si="154"/>
        <v>3</v>
      </c>
      <c r="CO22" s="1">
        <f t="shared" si="154"/>
        <v>3.5</v>
      </c>
      <c r="CP22" s="1"/>
      <c r="CQ22" s="1">
        <f t="shared" ref="CQ22:CU22" si="155">AVERAGE(CQ20:CQ21)</f>
        <v>4</v>
      </c>
      <c r="CR22" s="1">
        <f t="shared" si="155"/>
        <v>3</v>
      </c>
      <c r="CS22" s="1">
        <f t="shared" si="155"/>
        <v>1</v>
      </c>
      <c r="CT22" s="1">
        <f t="shared" si="155"/>
        <v>3</v>
      </c>
      <c r="CU22" s="1">
        <f t="shared" si="155"/>
        <v>1</v>
      </c>
      <c r="CV22" s="1"/>
      <c r="CW22" s="1">
        <f t="shared" ref="CW22:DA22" si="156">AVERAGE(CW20:CW21)</f>
        <v>3</v>
      </c>
      <c r="CX22" s="1">
        <f t="shared" si="156"/>
        <v>2</v>
      </c>
      <c r="CY22" s="1">
        <f t="shared" si="156"/>
        <v>2</v>
      </c>
      <c r="CZ22" s="1">
        <f t="shared" si="156"/>
        <v>2.5</v>
      </c>
      <c r="DA22" s="1">
        <f t="shared" si="156"/>
        <v>3.5</v>
      </c>
      <c r="DB22" s="1"/>
      <c r="DC22" s="1">
        <f t="shared" ref="DC22:DG22" si="157">AVERAGE(DC20:DC21)</f>
        <v>2.5</v>
      </c>
      <c r="DD22" s="1">
        <f t="shared" si="157"/>
        <v>2</v>
      </c>
      <c r="DE22" s="1">
        <f t="shared" si="157"/>
        <v>4</v>
      </c>
      <c r="DF22" s="1">
        <f t="shared" si="157"/>
        <v>2</v>
      </c>
      <c r="DG22" s="1">
        <f t="shared" si="157"/>
        <v>1.5</v>
      </c>
      <c r="DH22" s="1"/>
      <c r="DI22" s="1">
        <f t="shared" ref="DI22:DM22" si="158">AVERAGE(DI20:DI21)</f>
        <v>2.5</v>
      </c>
      <c r="DJ22" s="1">
        <f t="shared" si="158"/>
        <v>2</v>
      </c>
      <c r="DK22" s="1">
        <f t="shared" si="158"/>
        <v>3.5</v>
      </c>
      <c r="DL22" s="1">
        <f t="shared" si="158"/>
        <v>2</v>
      </c>
      <c r="DM22" s="1">
        <f t="shared" si="158"/>
        <v>3</v>
      </c>
      <c r="DN22" s="1"/>
      <c r="DO22" s="1">
        <f t="shared" ref="DO22:DS22" si="159">AVERAGE(DO20:DO21)</f>
        <v>2</v>
      </c>
      <c r="DP22" s="1">
        <f t="shared" si="159"/>
        <v>1.5</v>
      </c>
      <c r="DQ22" s="1">
        <f t="shared" si="159"/>
        <v>2</v>
      </c>
      <c r="DR22" s="1">
        <f t="shared" si="159"/>
        <v>2</v>
      </c>
      <c r="DS22" s="1">
        <f t="shared" si="159"/>
        <v>2.5</v>
      </c>
      <c r="DT22" s="1"/>
      <c r="DU22" s="1">
        <f t="shared" ref="DU22:DY22" si="160">AVERAGE(DU20:DU21)</f>
        <v>3.5</v>
      </c>
      <c r="DV22" s="1">
        <f t="shared" si="160"/>
        <v>3</v>
      </c>
      <c r="DW22" s="1">
        <f t="shared" si="160"/>
        <v>4</v>
      </c>
      <c r="DX22" s="1">
        <f t="shared" si="160"/>
        <v>3</v>
      </c>
      <c r="DY22" s="1">
        <f t="shared" si="160"/>
        <v>3</v>
      </c>
      <c r="DZ22" s="1"/>
      <c r="EA22" s="1">
        <f t="shared" ref="EA22:EE22" si="161">AVERAGE(EA20:EA21)</f>
        <v>4</v>
      </c>
      <c r="EB22" s="1">
        <f t="shared" si="161"/>
        <v>2</v>
      </c>
      <c r="EC22" s="1">
        <f t="shared" si="161"/>
        <v>3</v>
      </c>
      <c r="ED22" s="1">
        <f t="shared" si="161"/>
        <v>2</v>
      </c>
      <c r="EE22" s="1">
        <f t="shared" si="161"/>
        <v>3.5</v>
      </c>
      <c r="EF22" s="1"/>
      <c r="EG22" s="1">
        <f t="shared" ref="EG22:EK22" si="162">AVERAGE(EG20:EG21)</f>
        <v>3</v>
      </c>
      <c r="EH22" s="1">
        <f t="shared" si="162"/>
        <v>2</v>
      </c>
      <c r="EI22" s="1">
        <f t="shared" si="162"/>
        <v>3.5</v>
      </c>
      <c r="EJ22" s="1">
        <f t="shared" si="162"/>
        <v>3.5</v>
      </c>
      <c r="EK22" s="1">
        <f t="shared" si="162"/>
        <v>3.5</v>
      </c>
      <c r="EL22" s="1"/>
      <c r="EM22" s="1">
        <f t="shared" ref="EM22:EQ22" si="163">AVERAGE(EM20:EM21)</f>
        <v>4</v>
      </c>
      <c r="EN22" s="1">
        <f t="shared" si="163"/>
        <v>2.5</v>
      </c>
      <c r="EO22" s="1">
        <f t="shared" si="163"/>
        <v>4</v>
      </c>
      <c r="EP22" s="1">
        <f t="shared" si="163"/>
        <v>2</v>
      </c>
      <c r="EQ22" s="1">
        <f t="shared" si="163"/>
        <v>2.5</v>
      </c>
      <c r="ER22" s="1"/>
      <c r="ES22" s="1">
        <f t="shared" ref="ES22:EW22" si="164">AVERAGE(ES20:ES21)</f>
        <v>2</v>
      </c>
      <c r="ET22" s="1">
        <f t="shared" si="164"/>
        <v>1.5</v>
      </c>
      <c r="EU22" s="1">
        <f t="shared" si="164"/>
        <v>2.5</v>
      </c>
      <c r="EV22" s="1">
        <f t="shared" si="164"/>
        <v>3</v>
      </c>
      <c r="EW22" s="1">
        <f t="shared" si="164"/>
        <v>2.5</v>
      </c>
      <c r="EX22" s="1"/>
      <c r="EY22" s="1">
        <f t="shared" ref="EY22:FC22" si="165">AVERAGE(EY20:EY21)</f>
        <v>4</v>
      </c>
      <c r="EZ22" s="1">
        <f t="shared" si="165"/>
        <v>2</v>
      </c>
      <c r="FA22" s="1">
        <f t="shared" si="165"/>
        <v>3</v>
      </c>
      <c r="FB22" s="1">
        <f t="shared" si="165"/>
        <v>1.5</v>
      </c>
      <c r="FC22" s="1">
        <f t="shared" si="165"/>
        <v>3</v>
      </c>
      <c r="FD22" s="1"/>
      <c r="FE22" s="1">
        <f t="shared" ref="FE22:FI22" si="166">AVERAGE(FE20:FE21)</f>
        <v>2</v>
      </c>
      <c r="FF22" s="1">
        <f t="shared" si="166"/>
        <v>1.5</v>
      </c>
      <c r="FG22" s="1">
        <f t="shared" si="166"/>
        <v>2</v>
      </c>
      <c r="FH22" s="1">
        <f t="shared" si="166"/>
        <v>3</v>
      </c>
      <c r="FI22" s="1">
        <f t="shared" si="166"/>
        <v>1</v>
      </c>
      <c r="FJ22" s="1"/>
      <c r="FK22" s="1">
        <f t="shared" ref="FK22:FO22" si="167">AVERAGE(FK20:FK21)</f>
        <v>2.5</v>
      </c>
      <c r="FL22" s="1">
        <f t="shared" si="167"/>
        <v>1.5</v>
      </c>
      <c r="FM22" s="1">
        <f t="shared" si="167"/>
        <v>4</v>
      </c>
      <c r="FN22" s="1">
        <f t="shared" si="167"/>
        <v>2</v>
      </c>
      <c r="FO22" s="1">
        <f t="shared" si="167"/>
        <v>3</v>
      </c>
      <c r="FP22" s="1"/>
      <c r="FQ22" s="1">
        <f t="shared" ref="FQ22:FU22" si="168">AVERAGE(FQ20:FQ21)</f>
        <v>1.5</v>
      </c>
      <c r="FR22" s="1">
        <f t="shared" si="168"/>
        <v>2</v>
      </c>
      <c r="FS22" s="1">
        <f t="shared" si="168"/>
        <v>2.5</v>
      </c>
      <c r="FT22" s="1">
        <f t="shared" si="168"/>
        <v>2</v>
      </c>
      <c r="FU22" s="1">
        <f t="shared" si="168"/>
        <v>1.5</v>
      </c>
      <c r="FV22" s="1"/>
      <c r="FW22" s="1">
        <f t="shared" ref="FW22:GA22" si="169">AVERAGE(FW20:FW21)</f>
        <v>2</v>
      </c>
      <c r="FX22" s="1">
        <f t="shared" si="169"/>
        <v>2</v>
      </c>
      <c r="FY22" s="1">
        <f t="shared" si="169"/>
        <v>1.5</v>
      </c>
      <c r="FZ22" s="1">
        <f t="shared" si="169"/>
        <v>2</v>
      </c>
      <c r="GA22" s="1">
        <f t="shared" si="169"/>
        <v>3</v>
      </c>
      <c r="GB22" s="1"/>
      <c r="GC22" s="1">
        <f t="shared" ref="GC22:GG22" si="170">AVERAGE(GC20:GC21)</f>
        <v>2</v>
      </c>
      <c r="GD22" s="1">
        <f t="shared" si="170"/>
        <v>2</v>
      </c>
      <c r="GE22" s="1">
        <f t="shared" si="170"/>
        <v>2.5</v>
      </c>
      <c r="GF22" s="1">
        <f t="shared" si="170"/>
        <v>2.5</v>
      </c>
      <c r="GG22" s="1">
        <f t="shared" si="170"/>
        <v>1</v>
      </c>
      <c r="GH22" s="1"/>
      <c r="GI22" s="1">
        <f t="shared" ref="GI22:GM22" si="171">AVERAGE(GI20:GI21)</f>
        <v>3</v>
      </c>
      <c r="GJ22" s="1">
        <f t="shared" si="171"/>
        <v>3.5</v>
      </c>
      <c r="GK22" s="1">
        <f t="shared" si="171"/>
        <v>3</v>
      </c>
      <c r="GL22" s="1">
        <f t="shared" si="171"/>
        <v>3</v>
      </c>
      <c r="GM22" s="1">
        <f t="shared" si="171"/>
        <v>2</v>
      </c>
      <c r="GN22" s="1"/>
      <c r="GO22" s="1">
        <f t="shared" ref="GO22:GS22" si="172">AVERAGE(GO20:GO21)</f>
        <v>2.5</v>
      </c>
      <c r="GP22" s="1">
        <f t="shared" si="172"/>
        <v>3</v>
      </c>
      <c r="GQ22" s="1">
        <f t="shared" si="172"/>
        <v>3</v>
      </c>
      <c r="GR22" s="1">
        <f t="shared" si="172"/>
        <v>3</v>
      </c>
      <c r="GS22" s="1">
        <f t="shared" si="172"/>
        <v>2.5</v>
      </c>
      <c r="GT22" s="1"/>
      <c r="GU22" s="1">
        <f t="shared" ref="GU22:GY22" si="173">AVERAGE(GU20:GU21)</f>
        <v>3</v>
      </c>
      <c r="GV22" s="1">
        <f t="shared" si="173"/>
        <v>2</v>
      </c>
      <c r="GW22" s="1">
        <f t="shared" si="173"/>
        <v>3.5</v>
      </c>
      <c r="GX22" s="1">
        <f t="shared" si="173"/>
        <v>2.5</v>
      </c>
      <c r="GY22" s="1">
        <f t="shared" si="173"/>
        <v>3.5</v>
      </c>
      <c r="GZ22" s="1"/>
      <c r="HA22" s="1">
        <f t="shared" ref="HA22:HE22" si="174">AVERAGE(HA20:HA21)</f>
        <v>3</v>
      </c>
      <c r="HB22" s="1">
        <f t="shared" si="174"/>
        <v>3</v>
      </c>
      <c r="HC22" s="1">
        <f t="shared" si="174"/>
        <v>3.5</v>
      </c>
      <c r="HD22" s="1">
        <f t="shared" si="174"/>
        <v>3.5</v>
      </c>
      <c r="HE22" s="1">
        <f t="shared" si="174"/>
        <v>3</v>
      </c>
    </row>
    <row r="23" spans="1:213" x14ac:dyDescent="0.25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</row>
    <row r="24" spans="1:213" x14ac:dyDescent="0.25">
      <c r="A24" t="s">
        <v>195</v>
      </c>
      <c r="B24" t="s">
        <v>196</v>
      </c>
      <c r="C24">
        <v>35935</v>
      </c>
      <c r="E24" s="1">
        <v>4</v>
      </c>
      <c r="F24" s="1">
        <v>1</v>
      </c>
      <c r="G24" s="1">
        <v>1</v>
      </c>
      <c r="H24" s="1">
        <v>1</v>
      </c>
      <c r="I24" s="1">
        <v>1</v>
      </c>
      <c r="J24" s="1"/>
      <c r="K24" s="1">
        <v>3</v>
      </c>
      <c r="L24" s="1">
        <v>3</v>
      </c>
      <c r="M24" s="1">
        <v>3</v>
      </c>
      <c r="N24" s="1">
        <v>3</v>
      </c>
      <c r="O24" s="1">
        <v>3</v>
      </c>
      <c r="P24" s="1"/>
      <c r="Q24" s="1">
        <v>4</v>
      </c>
      <c r="R24" s="1">
        <v>4</v>
      </c>
      <c r="S24" s="1">
        <v>1</v>
      </c>
      <c r="T24" s="1">
        <v>2</v>
      </c>
      <c r="U24" s="1">
        <v>4</v>
      </c>
      <c r="V24" s="1"/>
      <c r="W24" s="1">
        <v>3</v>
      </c>
      <c r="X24" s="1">
        <v>2</v>
      </c>
      <c r="Y24" s="1">
        <v>3</v>
      </c>
      <c r="Z24" s="1">
        <v>2</v>
      </c>
      <c r="AA24" s="1">
        <v>3</v>
      </c>
      <c r="AB24" s="1"/>
      <c r="AC24" s="1">
        <v>4</v>
      </c>
      <c r="AD24" s="1">
        <v>4</v>
      </c>
      <c r="AE24" s="1">
        <v>4</v>
      </c>
      <c r="AF24" s="1">
        <v>3</v>
      </c>
      <c r="AG24" s="1">
        <v>4</v>
      </c>
      <c r="AH24" s="1"/>
      <c r="AI24" s="1">
        <v>1</v>
      </c>
      <c r="AJ24" s="1">
        <v>1</v>
      </c>
      <c r="AK24" s="1">
        <v>4</v>
      </c>
      <c r="AL24" s="1">
        <v>4</v>
      </c>
      <c r="AM24" s="1">
        <v>4</v>
      </c>
      <c r="AN24" s="1"/>
      <c r="AO24" s="1">
        <v>2</v>
      </c>
      <c r="AP24" s="1">
        <v>2</v>
      </c>
      <c r="AQ24" s="1">
        <v>2</v>
      </c>
      <c r="AR24" s="1">
        <v>3</v>
      </c>
      <c r="AS24" s="1">
        <v>4</v>
      </c>
      <c r="AT24" s="1"/>
      <c r="AU24" s="1">
        <v>1</v>
      </c>
      <c r="AV24" s="1">
        <v>2</v>
      </c>
      <c r="AW24" s="1">
        <v>1</v>
      </c>
      <c r="AX24" s="1">
        <v>1</v>
      </c>
      <c r="AY24" s="1">
        <v>1</v>
      </c>
      <c r="AZ24" s="1"/>
      <c r="BA24" s="1">
        <v>4</v>
      </c>
      <c r="BB24" s="1">
        <v>1</v>
      </c>
      <c r="BC24" s="1">
        <v>4</v>
      </c>
      <c r="BD24" s="1">
        <v>2</v>
      </c>
      <c r="BE24" s="1">
        <v>5</v>
      </c>
      <c r="BF24" s="1"/>
      <c r="BG24" s="1">
        <v>4</v>
      </c>
      <c r="BH24" s="1">
        <v>4</v>
      </c>
      <c r="BI24" s="1">
        <v>2</v>
      </c>
      <c r="BJ24" s="1">
        <v>3</v>
      </c>
      <c r="BK24" s="1">
        <v>3</v>
      </c>
      <c r="BL24" s="1"/>
      <c r="BM24" s="1">
        <v>1</v>
      </c>
      <c r="BN24" s="1">
        <v>1</v>
      </c>
      <c r="BO24" s="1">
        <v>2</v>
      </c>
      <c r="BP24" s="1">
        <v>1</v>
      </c>
      <c r="BQ24" s="1">
        <v>1</v>
      </c>
      <c r="BR24" s="1"/>
      <c r="BS24" s="1">
        <v>4</v>
      </c>
      <c r="BT24" s="1">
        <v>4</v>
      </c>
      <c r="BU24" s="1">
        <v>2</v>
      </c>
      <c r="BV24" s="1">
        <v>3</v>
      </c>
      <c r="BW24" s="1">
        <v>1</v>
      </c>
      <c r="BX24" s="1"/>
      <c r="BY24" s="1">
        <v>2</v>
      </c>
      <c r="BZ24" s="1">
        <v>4</v>
      </c>
      <c r="CA24" s="1">
        <v>3</v>
      </c>
      <c r="CB24" s="1">
        <v>4</v>
      </c>
      <c r="CC24" s="1">
        <v>3</v>
      </c>
      <c r="CD24" s="1"/>
      <c r="CE24" s="1">
        <v>3</v>
      </c>
      <c r="CF24" s="1">
        <v>3</v>
      </c>
      <c r="CG24" s="1">
        <v>5</v>
      </c>
      <c r="CH24" s="1">
        <v>3</v>
      </c>
      <c r="CI24" s="1">
        <v>4</v>
      </c>
      <c r="CJ24" s="1"/>
      <c r="CK24" s="1">
        <v>3</v>
      </c>
      <c r="CL24" s="1">
        <v>2</v>
      </c>
      <c r="CM24" s="1">
        <v>2</v>
      </c>
      <c r="CN24" s="1">
        <v>4</v>
      </c>
      <c r="CO24" s="1">
        <v>4</v>
      </c>
      <c r="CP24" s="1"/>
      <c r="CQ24" s="1">
        <v>2</v>
      </c>
      <c r="CR24" s="1">
        <v>4</v>
      </c>
      <c r="CS24" s="1">
        <v>2</v>
      </c>
      <c r="CT24" s="1">
        <v>4</v>
      </c>
      <c r="CU24" s="1">
        <v>1</v>
      </c>
      <c r="CV24" s="1"/>
      <c r="CW24" s="1">
        <v>4</v>
      </c>
      <c r="CX24" s="1">
        <v>2</v>
      </c>
      <c r="CY24" s="1">
        <v>3</v>
      </c>
      <c r="CZ24" s="1">
        <v>2</v>
      </c>
      <c r="DA24" s="1">
        <v>5</v>
      </c>
      <c r="DB24" s="1"/>
      <c r="DC24" s="1">
        <v>4</v>
      </c>
      <c r="DD24" s="1">
        <v>2</v>
      </c>
      <c r="DE24" s="1">
        <v>5</v>
      </c>
      <c r="DF24" s="1">
        <v>4</v>
      </c>
      <c r="DG24" s="1">
        <v>1</v>
      </c>
      <c r="DH24" s="1"/>
      <c r="DI24" s="1">
        <v>1</v>
      </c>
      <c r="DJ24" s="1">
        <v>2</v>
      </c>
      <c r="DK24" s="1">
        <v>1</v>
      </c>
      <c r="DL24" s="1">
        <v>1</v>
      </c>
      <c r="DM24" s="1">
        <v>4</v>
      </c>
      <c r="DN24" s="1"/>
      <c r="DO24" s="1">
        <v>2</v>
      </c>
      <c r="DP24" s="1">
        <v>1</v>
      </c>
      <c r="DQ24" s="1">
        <v>4</v>
      </c>
      <c r="DR24" s="1">
        <v>2</v>
      </c>
      <c r="DS24" s="1">
        <v>4</v>
      </c>
      <c r="DT24" s="1"/>
      <c r="DU24" s="1">
        <v>4</v>
      </c>
      <c r="DV24" s="1">
        <v>4</v>
      </c>
      <c r="DW24" s="1">
        <v>1</v>
      </c>
      <c r="DX24" s="1">
        <v>4</v>
      </c>
      <c r="DY24" s="1">
        <v>1</v>
      </c>
      <c r="DZ24" s="1"/>
      <c r="EA24" s="1">
        <v>4</v>
      </c>
      <c r="EB24" s="1">
        <v>2</v>
      </c>
      <c r="EC24" s="1">
        <v>4</v>
      </c>
      <c r="ED24" s="1">
        <v>1</v>
      </c>
      <c r="EE24" s="1">
        <v>4</v>
      </c>
      <c r="EF24" s="1"/>
      <c r="EG24" s="1">
        <v>4</v>
      </c>
      <c r="EH24" s="1">
        <v>3</v>
      </c>
      <c r="EI24" s="1">
        <v>4</v>
      </c>
      <c r="EJ24" s="1">
        <v>3</v>
      </c>
      <c r="EK24" s="1">
        <v>2</v>
      </c>
      <c r="EL24" s="1"/>
      <c r="EM24" s="1">
        <v>3</v>
      </c>
      <c r="EN24" s="1">
        <v>2</v>
      </c>
      <c r="EO24" s="1">
        <v>4</v>
      </c>
      <c r="EP24" s="1">
        <v>4</v>
      </c>
      <c r="EQ24" s="1">
        <v>4</v>
      </c>
      <c r="ER24" s="1"/>
      <c r="ES24" s="1">
        <v>3</v>
      </c>
      <c r="ET24" s="1">
        <v>1</v>
      </c>
      <c r="EU24" s="1">
        <v>3</v>
      </c>
      <c r="EV24" s="1">
        <v>4</v>
      </c>
      <c r="EW24" s="1">
        <v>3</v>
      </c>
      <c r="EX24" s="1"/>
      <c r="EY24" s="1">
        <v>4</v>
      </c>
      <c r="EZ24" s="1">
        <v>2</v>
      </c>
      <c r="FA24" s="1">
        <v>4</v>
      </c>
      <c r="FB24" s="1">
        <v>1</v>
      </c>
      <c r="FC24" s="1">
        <v>3</v>
      </c>
      <c r="FD24" s="1"/>
      <c r="FE24" s="1">
        <v>5</v>
      </c>
      <c r="FF24" s="1">
        <v>2</v>
      </c>
      <c r="FG24" s="1">
        <v>2</v>
      </c>
      <c r="FH24" s="1">
        <v>5</v>
      </c>
      <c r="FI24" s="1">
        <v>3</v>
      </c>
      <c r="FJ24" s="1"/>
      <c r="FK24" s="1">
        <v>4</v>
      </c>
      <c r="FL24" s="1">
        <v>3</v>
      </c>
      <c r="FM24" s="1">
        <v>3</v>
      </c>
      <c r="FN24" s="1">
        <v>1</v>
      </c>
      <c r="FO24" s="1">
        <v>5</v>
      </c>
      <c r="FP24" s="1"/>
      <c r="FQ24" s="1">
        <v>3</v>
      </c>
      <c r="FR24" s="1">
        <v>4</v>
      </c>
      <c r="FS24" s="1">
        <v>4</v>
      </c>
      <c r="FT24" s="1">
        <v>2</v>
      </c>
      <c r="FU24" s="1">
        <v>5</v>
      </c>
      <c r="FV24" s="1"/>
      <c r="FW24" s="1">
        <v>2</v>
      </c>
      <c r="FX24" s="1">
        <v>1</v>
      </c>
      <c r="FY24" s="1">
        <v>2</v>
      </c>
      <c r="FZ24" s="1">
        <v>2</v>
      </c>
      <c r="GA24" s="1">
        <v>5</v>
      </c>
      <c r="GB24" s="1"/>
      <c r="GC24" s="1">
        <v>4</v>
      </c>
      <c r="GD24" s="1">
        <v>3</v>
      </c>
      <c r="GE24" s="1">
        <v>5</v>
      </c>
      <c r="GF24" s="1">
        <v>5</v>
      </c>
      <c r="GG24" s="1">
        <v>1</v>
      </c>
      <c r="GH24" s="1"/>
      <c r="GI24" s="1">
        <v>3</v>
      </c>
      <c r="GJ24" s="1">
        <v>3</v>
      </c>
      <c r="GK24" s="1">
        <v>4</v>
      </c>
      <c r="GL24" s="1">
        <v>3</v>
      </c>
      <c r="GM24" s="1">
        <v>2</v>
      </c>
      <c r="GN24" s="1"/>
      <c r="GO24" s="1">
        <v>2</v>
      </c>
      <c r="GP24" s="1">
        <v>2</v>
      </c>
      <c r="GQ24" s="1">
        <v>3</v>
      </c>
      <c r="GR24" s="1">
        <v>2</v>
      </c>
      <c r="GS24" s="1">
        <v>1</v>
      </c>
      <c r="GT24" s="1"/>
      <c r="GU24" s="1">
        <v>4</v>
      </c>
      <c r="GV24" s="1">
        <v>1</v>
      </c>
      <c r="GW24" s="1">
        <v>4</v>
      </c>
      <c r="GX24" s="1">
        <v>3</v>
      </c>
      <c r="GY24" s="1">
        <v>5</v>
      </c>
      <c r="GZ24" s="1"/>
      <c r="HA24" s="1">
        <v>4</v>
      </c>
      <c r="HB24" s="1">
        <v>4</v>
      </c>
      <c r="HC24" s="1">
        <v>3</v>
      </c>
      <c r="HD24" s="1">
        <v>5</v>
      </c>
      <c r="HE24" s="1">
        <v>4</v>
      </c>
    </row>
    <row r="25" spans="1:213" x14ac:dyDescent="0.25">
      <c r="A25" t="s">
        <v>184</v>
      </c>
      <c r="E25" s="1">
        <f t="shared" ref="E25:I25" si="175">AVERAGE(E24)</f>
        <v>4</v>
      </c>
      <c r="F25" s="1">
        <f t="shared" si="175"/>
        <v>1</v>
      </c>
      <c r="G25" s="1">
        <f t="shared" si="175"/>
        <v>1</v>
      </c>
      <c r="H25" s="1">
        <f t="shared" si="175"/>
        <v>1</v>
      </c>
      <c r="I25" s="1">
        <f t="shared" si="175"/>
        <v>1</v>
      </c>
      <c r="J25" s="1"/>
      <c r="K25" s="1">
        <f t="shared" ref="K25:O25" si="176">AVERAGE(K24)</f>
        <v>3</v>
      </c>
      <c r="L25" s="1">
        <f t="shared" si="176"/>
        <v>3</v>
      </c>
      <c r="M25" s="1">
        <f t="shared" si="176"/>
        <v>3</v>
      </c>
      <c r="N25" s="1">
        <f t="shared" si="176"/>
        <v>3</v>
      </c>
      <c r="O25" s="1">
        <f t="shared" si="176"/>
        <v>3</v>
      </c>
      <c r="P25" s="1"/>
      <c r="Q25" s="1">
        <f t="shared" ref="Q25:U25" si="177">AVERAGE(Q24)</f>
        <v>4</v>
      </c>
      <c r="R25" s="1">
        <f t="shared" si="177"/>
        <v>4</v>
      </c>
      <c r="S25" s="1">
        <f t="shared" si="177"/>
        <v>1</v>
      </c>
      <c r="T25" s="1">
        <f t="shared" si="177"/>
        <v>2</v>
      </c>
      <c r="U25" s="1">
        <f t="shared" si="177"/>
        <v>4</v>
      </c>
      <c r="V25" s="1"/>
      <c r="W25" s="1">
        <f t="shared" ref="W25:AA25" si="178">AVERAGE(W24)</f>
        <v>3</v>
      </c>
      <c r="X25" s="1">
        <f t="shared" si="178"/>
        <v>2</v>
      </c>
      <c r="Y25" s="1">
        <f t="shared" si="178"/>
        <v>3</v>
      </c>
      <c r="Z25" s="1">
        <f t="shared" si="178"/>
        <v>2</v>
      </c>
      <c r="AA25" s="1">
        <f t="shared" si="178"/>
        <v>3</v>
      </c>
      <c r="AB25" s="1"/>
      <c r="AC25" s="1">
        <f t="shared" ref="AC25:AG25" si="179">AVERAGE(AC24)</f>
        <v>4</v>
      </c>
      <c r="AD25" s="1">
        <f t="shared" si="179"/>
        <v>4</v>
      </c>
      <c r="AE25" s="1">
        <f t="shared" si="179"/>
        <v>4</v>
      </c>
      <c r="AF25" s="1">
        <f t="shared" si="179"/>
        <v>3</v>
      </c>
      <c r="AG25" s="1">
        <f t="shared" si="179"/>
        <v>4</v>
      </c>
      <c r="AH25" s="1"/>
      <c r="AI25" s="1">
        <f t="shared" ref="AI25:AM25" si="180">AVERAGE(AI24)</f>
        <v>1</v>
      </c>
      <c r="AJ25" s="1">
        <f t="shared" si="180"/>
        <v>1</v>
      </c>
      <c r="AK25" s="1">
        <f t="shared" si="180"/>
        <v>4</v>
      </c>
      <c r="AL25" s="1">
        <f t="shared" si="180"/>
        <v>4</v>
      </c>
      <c r="AM25" s="1">
        <f t="shared" si="180"/>
        <v>4</v>
      </c>
      <c r="AN25" s="1"/>
      <c r="AO25" s="1">
        <f t="shared" ref="AO25:AS25" si="181">AVERAGE(AO24)</f>
        <v>2</v>
      </c>
      <c r="AP25" s="1">
        <f t="shared" si="181"/>
        <v>2</v>
      </c>
      <c r="AQ25" s="1">
        <f t="shared" si="181"/>
        <v>2</v>
      </c>
      <c r="AR25" s="1">
        <f t="shared" si="181"/>
        <v>3</v>
      </c>
      <c r="AS25" s="1">
        <f t="shared" si="181"/>
        <v>4</v>
      </c>
      <c r="AT25" s="1"/>
      <c r="AU25" s="1">
        <f t="shared" ref="AU25:AY25" si="182">AVERAGE(AU24)</f>
        <v>1</v>
      </c>
      <c r="AV25" s="1">
        <f t="shared" si="182"/>
        <v>2</v>
      </c>
      <c r="AW25" s="1">
        <f t="shared" si="182"/>
        <v>1</v>
      </c>
      <c r="AX25" s="1">
        <f t="shared" si="182"/>
        <v>1</v>
      </c>
      <c r="AY25" s="1">
        <f t="shared" si="182"/>
        <v>1</v>
      </c>
      <c r="AZ25" s="1"/>
      <c r="BA25" s="1">
        <f t="shared" ref="BA25:BE25" si="183">AVERAGE(BA24)</f>
        <v>4</v>
      </c>
      <c r="BB25" s="1">
        <f t="shared" si="183"/>
        <v>1</v>
      </c>
      <c r="BC25" s="1">
        <f t="shared" si="183"/>
        <v>4</v>
      </c>
      <c r="BD25" s="1">
        <f t="shared" si="183"/>
        <v>2</v>
      </c>
      <c r="BE25" s="1">
        <f t="shared" si="183"/>
        <v>5</v>
      </c>
      <c r="BF25" s="1"/>
      <c r="BG25" s="1">
        <f t="shared" ref="BG25:BK25" si="184">AVERAGE(BG24)</f>
        <v>4</v>
      </c>
      <c r="BH25" s="1">
        <f t="shared" si="184"/>
        <v>4</v>
      </c>
      <c r="BI25" s="1">
        <f t="shared" si="184"/>
        <v>2</v>
      </c>
      <c r="BJ25" s="1">
        <f t="shared" si="184"/>
        <v>3</v>
      </c>
      <c r="BK25" s="1">
        <f t="shared" si="184"/>
        <v>3</v>
      </c>
      <c r="BL25" s="1"/>
      <c r="BM25" s="1">
        <f t="shared" ref="BM25:BQ25" si="185">AVERAGE(BM24)</f>
        <v>1</v>
      </c>
      <c r="BN25" s="1">
        <f t="shared" si="185"/>
        <v>1</v>
      </c>
      <c r="BO25" s="1">
        <f t="shared" si="185"/>
        <v>2</v>
      </c>
      <c r="BP25" s="1">
        <f t="shared" si="185"/>
        <v>1</v>
      </c>
      <c r="BQ25" s="1">
        <f t="shared" si="185"/>
        <v>1</v>
      </c>
      <c r="BR25" s="1"/>
      <c r="BS25" s="1">
        <f t="shared" ref="BS25:BW25" si="186">AVERAGE(BS24)</f>
        <v>4</v>
      </c>
      <c r="BT25" s="1">
        <f t="shared" si="186"/>
        <v>4</v>
      </c>
      <c r="BU25" s="1">
        <f t="shared" si="186"/>
        <v>2</v>
      </c>
      <c r="BV25" s="1">
        <f t="shared" si="186"/>
        <v>3</v>
      </c>
      <c r="BW25" s="1">
        <f t="shared" si="186"/>
        <v>1</v>
      </c>
      <c r="BX25" s="1"/>
      <c r="BY25" s="1">
        <f t="shared" ref="BY25:CC25" si="187">AVERAGE(BY24)</f>
        <v>2</v>
      </c>
      <c r="BZ25" s="1">
        <f t="shared" si="187"/>
        <v>4</v>
      </c>
      <c r="CA25" s="1">
        <f t="shared" si="187"/>
        <v>3</v>
      </c>
      <c r="CB25" s="1">
        <f t="shared" si="187"/>
        <v>4</v>
      </c>
      <c r="CC25" s="1">
        <f t="shared" si="187"/>
        <v>3</v>
      </c>
      <c r="CD25" s="1"/>
      <c r="CE25" s="1">
        <f t="shared" ref="CE25:CI25" si="188">AVERAGE(CE24)</f>
        <v>3</v>
      </c>
      <c r="CF25" s="1">
        <f t="shared" si="188"/>
        <v>3</v>
      </c>
      <c r="CG25" s="1">
        <f t="shared" si="188"/>
        <v>5</v>
      </c>
      <c r="CH25" s="1">
        <f t="shared" si="188"/>
        <v>3</v>
      </c>
      <c r="CI25" s="1">
        <f t="shared" si="188"/>
        <v>4</v>
      </c>
      <c r="CJ25" s="1"/>
      <c r="CK25" s="1">
        <f t="shared" ref="CK25:CO25" si="189">AVERAGE(CK24)</f>
        <v>3</v>
      </c>
      <c r="CL25" s="1">
        <f t="shared" si="189"/>
        <v>2</v>
      </c>
      <c r="CM25" s="1">
        <f t="shared" si="189"/>
        <v>2</v>
      </c>
      <c r="CN25" s="1">
        <f t="shared" si="189"/>
        <v>4</v>
      </c>
      <c r="CO25" s="1">
        <f t="shared" si="189"/>
        <v>4</v>
      </c>
      <c r="CP25" s="1"/>
      <c r="CQ25" s="1">
        <f t="shared" ref="CQ25:CU25" si="190">AVERAGE(CQ24)</f>
        <v>2</v>
      </c>
      <c r="CR25" s="1">
        <f t="shared" si="190"/>
        <v>4</v>
      </c>
      <c r="CS25" s="1">
        <f t="shared" si="190"/>
        <v>2</v>
      </c>
      <c r="CT25" s="1">
        <f t="shared" si="190"/>
        <v>4</v>
      </c>
      <c r="CU25" s="1">
        <f t="shared" si="190"/>
        <v>1</v>
      </c>
      <c r="CV25" s="1"/>
      <c r="CW25" s="1">
        <f t="shared" ref="CW25:DA25" si="191">AVERAGE(CW24)</f>
        <v>4</v>
      </c>
      <c r="CX25" s="1">
        <f t="shared" si="191"/>
        <v>2</v>
      </c>
      <c r="CY25" s="1">
        <f t="shared" si="191"/>
        <v>3</v>
      </c>
      <c r="CZ25" s="1">
        <f t="shared" si="191"/>
        <v>2</v>
      </c>
      <c r="DA25" s="1">
        <f t="shared" si="191"/>
        <v>5</v>
      </c>
      <c r="DB25" s="1"/>
      <c r="DC25" s="1">
        <f t="shared" ref="DC25:DG25" si="192">AVERAGE(DC24)</f>
        <v>4</v>
      </c>
      <c r="DD25" s="1">
        <f t="shared" si="192"/>
        <v>2</v>
      </c>
      <c r="DE25" s="1">
        <f t="shared" si="192"/>
        <v>5</v>
      </c>
      <c r="DF25" s="1">
        <f t="shared" si="192"/>
        <v>4</v>
      </c>
      <c r="DG25" s="1">
        <f t="shared" si="192"/>
        <v>1</v>
      </c>
      <c r="DH25" s="1"/>
      <c r="DI25" s="1">
        <f t="shared" ref="DI25:DM25" si="193">AVERAGE(DI24)</f>
        <v>1</v>
      </c>
      <c r="DJ25" s="1">
        <f t="shared" si="193"/>
        <v>2</v>
      </c>
      <c r="DK25" s="1">
        <f t="shared" si="193"/>
        <v>1</v>
      </c>
      <c r="DL25" s="1">
        <f t="shared" si="193"/>
        <v>1</v>
      </c>
      <c r="DM25" s="1">
        <f t="shared" si="193"/>
        <v>4</v>
      </c>
      <c r="DN25" s="1"/>
      <c r="DO25" s="1">
        <f t="shared" ref="DO25:DS25" si="194">AVERAGE(DO24)</f>
        <v>2</v>
      </c>
      <c r="DP25" s="1">
        <f t="shared" si="194"/>
        <v>1</v>
      </c>
      <c r="DQ25" s="1">
        <f t="shared" si="194"/>
        <v>4</v>
      </c>
      <c r="DR25" s="1">
        <f t="shared" si="194"/>
        <v>2</v>
      </c>
      <c r="DS25" s="1">
        <f t="shared" si="194"/>
        <v>4</v>
      </c>
      <c r="DT25" s="1"/>
      <c r="DU25" s="1">
        <f t="shared" ref="DU25:DY25" si="195">AVERAGE(DU24)</f>
        <v>4</v>
      </c>
      <c r="DV25" s="1">
        <f t="shared" si="195"/>
        <v>4</v>
      </c>
      <c r="DW25" s="1">
        <f t="shared" si="195"/>
        <v>1</v>
      </c>
      <c r="DX25" s="1">
        <f t="shared" si="195"/>
        <v>4</v>
      </c>
      <c r="DY25" s="1">
        <f t="shared" si="195"/>
        <v>1</v>
      </c>
      <c r="DZ25" s="1"/>
      <c r="EA25" s="1">
        <f t="shared" ref="EA25:EE25" si="196">AVERAGE(EA24)</f>
        <v>4</v>
      </c>
      <c r="EB25" s="1">
        <f t="shared" si="196"/>
        <v>2</v>
      </c>
      <c r="EC25" s="1">
        <f t="shared" si="196"/>
        <v>4</v>
      </c>
      <c r="ED25" s="1">
        <f t="shared" si="196"/>
        <v>1</v>
      </c>
      <c r="EE25" s="1">
        <f t="shared" si="196"/>
        <v>4</v>
      </c>
      <c r="EF25" s="1"/>
      <c r="EG25" s="1">
        <f t="shared" ref="EG25:EK25" si="197">AVERAGE(EG24)</f>
        <v>4</v>
      </c>
      <c r="EH25" s="1">
        <f t="shared" si="197"/>
        <v>3</v>
      </c>
      <c r="EI25" s="1">
        <f t="shared" si="197"/>
        <v>4</v>
      </c>
      <c r="EJ25" s="1">
        <f t="shared" si="197"/>
        <v>3</v>
      </c>
      <c r="EK25" s="1">
        <f t="shared" si="197"/>
        <v>2</v>
      </c>
      <c r="EL25" s="1"/>
      <c r="EM25" s="1">
        <f t="shared" ref="EM25:EQ25" si="198">AVERAGE(EM24)</f>
        <v>3</v>
      </c>
      <c r="EN25" s="1">
        <f t="shared" si="198"/>
        <v>2</v>
      </c>
      <c r="EO25" s="1">
        <f t="shared" si="198"/>
        <v>4</v>
      </c>
      <c r="EP25" s="1">
        <f t="shared" si="198"/>
        <v>4</v>
      </c>
      <c r="EQ25" s="1">
        <f t="shared" si="198"/>
        <v>4</v>
      </c>
      <c r="ER25" s="1"/>
      <c r="ES25" s="1">
        <f t="shared" ref="ES25:EW25" si="199">AVERAGE(ES24)</f>
        <v>3</v>
      </c>
      <c r="ET25" s="1">
        <f t="shared" si="199"/>
        <v>1</v>
      </c>
      <c r="EU25" s="1">
        <f t="shared" si="199"/>
        <v>3</v>
      </c>
      <c r="EV25" s="1">
        <f t="shared" si="199"/>
        <v>4</v>
      </c>
      <c r="EW25" s="1">
        <f t="shared" si="199"/>
        <v>3</v>
      </c>
      <c r="EX25" s="1"/>
      <c r="EY25" s="1">
        <f t="shared" ref="EY25:FC25" si="200">AVERAGE(EY24)</f>
        <v>4</v>
      </c>
      <c r="EZ25" s="1">
        <f t="shared" si="200"/>
        <v>2</v>
      </c>
      <c r="FA25" s="1">
        <f t="shared" si="200"/>
        <v>4</v>
      </c>
      <c r="FB25" s="1">
        <f t="shared" si="200"/>
        <v>1</v>
      </c>
      <c r="FC25" s="1">
        <f t="shared" si="200"/>
        <v>3</v>
      </c>
      <c r="FD25" s="1"/>
      <c r="FE25" s="1">
        <f t="shared" ref="FE25:FI25" si="201">AVERAGE(FE24)</f>
        <v>5</v>
      </c>
      <c r="FF25" s="1">
        <f t="shared" si="201"/>
        <v>2</v>
      </c>
      <c r="FG25" s="1">
        <f t="shared" si="201"/>
        <v>2</v>
      </c>
      <c r="FH25" s="1">
        <f t="shared" si="201"/>
        <v>5</v>
      </c>
      <c r="FI25" s="1">
        <f t="shared" si="201"/>
        <v>3</v>
      </c>
      <c r="FJ25" s="1"/>
      <c r="FK25" s="1">
        <f t="shared" ref="FK25:FO25" si="202">AVERAGE(FK24)</f>
        <v>4</v>
      </c>
      <c r="FL25" s="1">
        <f t="shared" si="202"/>
        <v>3</v>
      </c>
      <c r="FM25" s="1">
        <f t="shared" si="202"/>
        <v>3</v>
      </c>
      <c r="FN25" s="1">
        <f t="shared" si="202"/>
        <v>1</v>
      </c>
      <c r="FO25" s="1">
        <f t="shared" si="202"/>
        <v>5</v>
      </c>
      <c r="FP25" s="1"/>
      <c r="FQ25" s="1">
        <f t="shared" ref="FQ25:FU25" si="203">AVERAGE(FQ24)</f>
        <v>3</v>
      </c>
      <c r="FR25" s="1">
        <f t="shared" si="203"/>
        <v>4</v>
      </c>
      <c r="FS25" s="1">
        <f t="shared" si="203"/>
        <v>4</v>
      </c>
      <c r="FT25" s="1">
        <f t="shared" si="203"/>
        <v>2</v>
      </c>
      <c r="FU25" s="1">
        <f t="shared" si="203"/>
        <v>5</v>
      </c>
      <c r="FV25" s="1"/>
      <c r="FW25" s="1">
        <f t="shared" ref="FW25:GA25" si="204">AVERAGE(FW24)</f>
        <v>2</v>
      </c>
      <c r="FX25" s="1">
        <f t="shared" si="204"/>
        <v>1</v>
      </c>
      <c r="FY25" s="1">
        <f t="shared" si="204"/>
        <v>2</v>
      </c>
      <c r="FZ25" s="1">
        <f t="shared" si="204"/>
        <v>2</v>
      </c>
      <c r="GA25" s="1">
        <f t="shared" si="204"/>
        <v>5</v>
      </c>
      <c r="GB25" s="1"/>
      <c r="GC25" s="1">
        <f t="shared" ref="GC25:GG25" si="205">AVERAGE(GC24)</f>
        <v>4</v>
      </c>
      <c r="GD25" s="1">
        <f t="shared" si="205"/>
        <v>3</v>
      </c>
      <c r="GE25" s="1">
        <f t="shared" si="205"/>
        <v>5</v>
      </c>
      <c r="GF25" s="1">
        <f t="shared" si="205"/>
        <v>5</v>
      </c>
      <c r="GG25" s="1">
        <f t="shared" si="205"/>
        <v>1</v>
      </c>
      <c r="GH25" s="1"/>
      <c r="GI25" s="1">
        <f t="shared" ref="GI25:GM25" si="206">AVERAGE(GI24)</f>
        <v>3</v>
      </c>
      <c r="GJ25" s="1">
        <f t="shared" si="206"/>
        <v>3</v>
      </c>
      <c r="GK25" s="1">
        <f t="shared" si="206"/>
        <v>4</v>
      </c>
      <c r="GL25" s="1">
        <f t="shared" si="206"/>
        <v>3</v>
      </c>
      <c r="GM25" s="1">
        <f t="shared" si="206"/>
        <v>2</v>
      </c>
      <c r="GN25" s="1"/>
      <c r="GO25" s="1">
        <f t="shared" ref="GO25:GS25" si="207">AVERAGE(GO24)</f>
        <v>2</v>
      </c>
      <c r="GP25" s="1">
        <f t="shared" si="207"/>
        <v>2</v>
      </c>
      <c r="GQ25" s="1">
        <f t="shared" si="207"/>
        <v>3</v>
      </c>
      <c r="GR25" s="1">
        <f t="shared" si="207"/>
        <v>2</v>
      </c>
      <c r="GS25" s="1">
        <f t="shared" si="207"/>
        <v>1</v>
      </c>
      <c r="GT25" s="1"/>
      <c r="GU25" s="1">
        <f t="shared" ref="GU25:GY25" si="208">AVERAGE(GU24)</f>
        <v>4</v>
      </c>
      <c r="GV25" s="1">
        <f t="shared" si="208"/>
        <v>1</v>
      </c>
      <c r="GW25" s="1">
        <f t="shared" si="208"/>
        <v>4</v>
      </c>
      <c r="GX25" s="1">
        <f t="shared" si="208"/>
        <v>3</v>
      </c>
      <c r="GY25" s="1">
        <f t="shared" si="208"/>
        <v>5</v>
      </c>
      <c r="GZ25" s="1"/>
      <c r="HA25" s="1">
        <f t="shared" ref="HA25:HE25" si="209">AVERAGE(HA24)</f>
        <v>4</v>
      </c>
      <c r="HB25" s="1">
        <f t="shared" si="209"/>
        <v>4</v>
      </c>
      <c r="HC25" s="1">
        <f t="shared" si="209"/>
        <v>3</v>
      </c>
      <c r="HD25" s="1">
        <f t="shared" si="209"/>
        <v>5</v>
      </c>
      <c r="HE25" s="1">
        <f t="shared" si="209"/>
        <v>4</v>
      </c>
    </row>
    <row r="26" spans="1:213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</row>
    <row r="27" spans="1:213" x14ac:dyDescent="0.25">
      <c r="A27" t="s">
        <v>197</v>
      </c>
      <c r="B27" t="s">
        <v>198</v>
      </c>
      <c r="C27">
        <v>4964</v>
      </c>
      <c r="E27" s="1">
        <v>3</v>
      </c>
      <c r="F27" s="1">
        <v>2</v>
      </c>
      <c r="G27" s="1">
        <v>2</v>
      </c>
      <c r="H27" s="1">
        <v>2</v>
      </c>
      <c r="I27" s="1">
        <v>4</v>
      </c>
      <c r="J27" s="1"/>
      <c r="K27" s="1">
        <v>2</v>
      </c>
      <c r="L27" s="1">
        <v>2</v>
      </c>
      <c r="M27" s="1">
        <v>3</v>
      </c>
      <c r="N27" s="1">
        <v>2</v>
      </c>
      <c r="O27" s="1">
        <v>5</v>
      </c>
      <c r="P27" s="1"/>
      <c r="Q27" s="1">
        <v>1</v>
      </c>
      <c r="R27" s="1">
        <v>1</v>
      </c>
      <c r="S27" s="1">
        <v>3</v>
      </c>
      <c r="T27" s="1">
        <v>2</v>
      </c>
      <c r="U27" s="1">
        <v>5</v>
      </c>
      <c r="V27" s="1"/>
      <c r="W27" s="1">
        <v>2</v>
      </c>
      <c r="X27" s="1">
        <v>2</v>
      </c>
      <c r="Y27" s="1">
        <v>3</v>
      </c>
      <c r="Z27" s="1">
        <v>3</v>
      </c>
      <c r="AA27" s="1">
        <v>5</v>
      </c>
      <c r="AB27" s="1"/>
      <c r="AC27" s="1">
        <v>3</v>
      </c>
      <c r="AD27" s="1">
        <v>3</v>
      </c>
      <c r="AE27" s="1">
        <v>3</v>
      </c>
      <c r="AF27" s="1">
        <v>2</v>
      </c>
      <c r="AG27" s="1">
        <v>4</v>
      </c>
      <c r="AH27" s="1"/>
      <c r="AI27" s="1">
        <v>1</v>
      </c>
      <c r="AJ27" s="1">
        <v>1</v>
      </c>
      <c r="AK27" s="1">
        <v>3</v>
      </c>
      <c r="AL27" s="1">
        <v>4</v>
      </c>
      <c r="AM27" s="1">
        <v>5</v>
      </c>
      <c r="AN27" s="1"/>
      <c r="AO27" s="1">
        <v>2</v>
      </c>
      <c r="AP27" s="1">
        <v>4</v>
      </c>
      <c r="AQ27" s="1">
        <v>2</v>
      </c>
      <c r="AR27" s="1">
        <v>3</v>
      </c>
      <c r="AS27" s="1">
        <v>4</v>
      </c>
      <c r="AT27" s="1"/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/>
      <c r="BA27" s="1">
        <v>3</v>
      </c>
      <c r="BB27" s="1">
        <v>3</v>
      </c>
      <c r="BC27" s="1">
        <v>3</v>
      </c>
      <c r="BD27" s="1">
        <v>3</v>
      </c>
      <c r="BE27" s="1">
        <v>3</v>
      </c>
      <c r="BF27" s="1"/>
      <c r="BG27" s="1">
        <v>2</v>
      </c>
      <c r="BH27" s="1">
        <v>4</v>
      </c>
      <c r="BI27" s="1">
        <v>2</v>
      </c>
      <c r="BJ27" s="1">
        <v>2</v>
      </c>
      <c r="BK27" s="1">
        <v>5</v>
      </c>
      <c r="BL27" s="1"/>
      <c r="BM27" s="1">
        <v>3</v>
      </c>
      <c r="BN27" s="1">
        <v>1</v>
      </c>
      <c r="BO27" s="1">
        <v>4</v>
      </c>
      <c r="BP27" s="1">
        <v>2</v>
      </c>
      <c r="BQ27" s="1">
        <v>2</v>
      </c>
      <c r="BR27" s="1"/>
      <c r="BS27" s="1">
        <v>2</v>
      </c>
      <c r="BT27" s="1">
        <v>4</v>
      </c>
      <c r="BU27" s="1">
        <v>3</v>
      </c>
      <c r="BV27" s="1">
        <v>4</v>
      </c>
      <c r="BW27" s="1">
        <v>2</v>
      </c>
      <c r="BX27" s="1"/>
      <c r="BY27" s="1">
        <v>3</v>
      </c>
      <c r="BZ27" s="1">
        <v>4</v>
      </c>
      <c r="CA27" s="1">
        <v>2</v>
      </c>
      <c r="CB27" s="1">
        <v>3</v>
      </c>
      <c r="CC27" s="1">
        <v>2</v>
      </c>
      <c r="CD27" s="1"/>
      <c r="CE27" s="1">
        <v>4</v>
      </c>
      <c r="CF27" s="1">
        <v>3</v>
      </c>
      <c r="CG27" s="1">
        <v>4</v>
      </c>
      <c r="CH27" s="1">
        <v>2</v>
      </c>
      <c r="CI27" s="1">
        <v>5</v>
      </c>
      <c r="CJ27" s="1"/>
      <c r="CK27" s="1">
        <v>4</v>
      </c>
      <c r="CL27" s="1">
        <v>3</v>
      </c>
      <c r="CM27" s="1">
        <v>3</v>
      </c>
      <c r="CN27" s="1">
        <v>3</v>
      </c>
      <c r="CO27" s="1">
        <v>5</v>
      </c>
      <c r="CP27" s="1"/>
      <c r="CQ27" s="1">
        <v>2</v>
      </c>
      <c r="CR27" s="1">
        <v>2</v>
      </c>
      <c r="CS27" s="1">
        <v>3</v>
      </c>
      <c r="CT27" s="1">
        <v>2</v>
      </c>
      <c r="CU27" s="1">
        <v>5</v>
      </c>
      <c r="CV27" s="1"/>
      <c r="CW27" s="1">
        <v>4</v>
      </c>
      <c r="CX27" s="1">
        <v>3</v>
      </c>
      <c r="CY27" s="1">
        <v>3</v>
      </c>
      <c r="CZ27" s="1">
        <v>3</v>
      </c>
      <c r="DA27" s="1">
        <v>4</v>
      </c>
      <c r="DB27" s="1"/>
      <c r="DC27" s="1">
        <v>2</v>
      </c>
      <c r="DD27" s="1">
        <v>2</v>
      </c>
      <c r="DE27" s="1">
        <v>2</v>
      </c>
      <c r="DF27" s="1">
        <v>2</v>
      </c>
      <c r="DG27" s="1">
        <v>4</v>
      </c>
      <c r="DH27" s="1"/>
      <c r="DI27" s="1">
        <v>1</v>
      </c>
      <c r="DJ27" s="1">
        <v>1</v>
      </c>
      <c r="DK27" s="1">
        <v>4</v>
      </c>
      <c r="DL27" s="1">
        <v>1</v>
      </c>
      <c r="DM27" s="1">
        <v>5</v>
      </c>
      <c r="DN27" s="1"/>
      <c r="DO27" s="1">
        <v>2</v>
      </c>
      <c r="DP27" s="1">
        <v>1</v>
      </c>
      <c r="DQ27" s="1">
        <v>1</v>
      </c>
      <c r="DR27" s="1">
        <v>1</v>
      </c>
      <c r="DS27" s="1">
        <v>4</v>
      </c>
      <c r="DT27" s="1"/>
      <c r="DU27" s="1">
        <v>4</v>
      </c>
      <c r="DV27" s="1">
        <v>2</v>
      </c>
      <c r="DW27" s="1">
        <v>1</v>
      </c>
      <c r="DX27" s="1">
        <v>1</v>
      </c>
      <c r="DY27" s="1">
        <v>1</v>
      </c>
      <c r="DZ27" s="1"/>
      <c r="EA27" s="1">
        <v>3</v>
      </c>
      <c r="EB27" s="1">
        <v>2</v>
      </c>
      <c r="EC27" s="1">
        <v>3</v>
      </c>
      <c r="ED27" s="1">
        <v>3</v>
      </c>
      <c r="EE27" s="1">
        <v>5</v>
      </c>
      <c r="EF27" s="1"/>
      <c r="EG27" s="1">
        <v>2</v>
      </c>
      <c r="EH27" s="1">
        <v>3</v>
      </c>
      <c r="EI27" s="1">
        <v>3</v>
      </c>
      <c r="EJ27" s="1">
        <v>3</v>
      </c>
      <c r="EK27" s="1">
        <v>3</v>
      </c>
      <c r="EL27" s="1"/>
      <c r="EM27" s="1">
        <v>3</v>
      </c>
      <c r="EN27" s="1">
        <v>2</v>
      </c>
      <c r="EO27" s="1">
        <v>2</v>
      </c>
      <c r="EP27" s="1">
        <v>2</v>
      </c>
      <c r="EQ27" s="1">
        <v>4</v>
      </c>
      <c r="ER27" s="1"/>
      <c r="ES27" s="1">
        <v>2</v>
      </c>
      <c r="ET27" s="1">
        <v>1</v>
      </c>
      <c r="EU27" s="1">
        <v>4</v>
      </c>
      <c r="EV27" s="1">
        <v>3</v>
      </c>
      <c r="EW27" s="1">
        <v>4</v>
      </c>
      <c r="EX27" s="1"/>
      <c r="EY27" s="1">
        <v>3</v>
      </c>
      <c r="EZ27" s="1">
        <v>1</v>
      </c>
      <c r="FA27" s="1">
        <v>2</v>
      </c>
      <c r="FB27" s="1">
        <v>1</v>
      </c>
      <c r="FC27" s="1">
        <v>4</v>
      </c>
      <c r="FD27" s="1"/>
      <c r="FE27" s="1">
        <v>3</v>
      </c>
      <c r="FF27" s="1">
        <v>1</v>
      </c>
      <c r="FG27" s="1">
        <v>2</v>
      </c>
      <c r="FH27" s="1">
        <v>3</v>
      </c>
      <c r="FI27" s="1">
        <v>3</v>
      </c>
      <c r="FJ27" s="1"/>
      <c r="FK27" s="1">
        <v>2</v>
      </c>
      <c r="FL27" s="1">
        <v>2</v>
      </c>
      <c r="FM27" s="1">
        <v>2</v>
      </c>
      <c r="FN27" s="1">
        <v>4</v>
      </c>
      <c r="FO27" s="1">
        <v>3</v>
      </c>
      <c r="FP27" s="1"/>
      <c r="FQ27" s="1">
        <v>1</v>
      </c>
      <c r="FR27" s="1">
        <v>3</v>
      </c>
      <c r="FS27" s="1">
        <v>3</v>
      </c>
      <c r="FT27" s="1">
        <v>2</v>
      </c>
      <c r="FU27" s="1">
        <v>4</v>
      </c>
      <c r="FV27" s="1"/>
      <c r="FW27" s="1">
        <v>1</v>
      </c>
      <c r="FX27" s="1">
        <v>1</v>
      </c>
      <c r="FY27" s="1">
        <v>3</v>
      </c>
      <c r="FZ27" s="1">
        <v>1</v>
      </c>
      <c r="GA27" s="1">
        <v>4</v>
      </c>
      <c r="GB27" s="1"/>
      <c r="GC27" s="1">
        <v>2</v>
      </c>
      <c r="GD27" s="1">
        <v>2</v>
      </c>
      <c r="GE27" s="1">
        <v>2</v>
      </c>
      <c r="GF27" s="1">
        <v>2</v>
      </c>
      <c r="GG27" s="1">
        <v>2</v>
      </c>
      <c r="GH27" s="1"/>
      <c r="GI27" s="1">
        <v>3</v>
      </c>
      <c r="GJ27" s="1">
        <v>3</v>
      </c>
      <c r="GK27" s="1">
        <v>3</v>
      </c>
      <c r="GL27" s="1">
        <v>2</v>
      </c>
      <c r="GM27" s="1">
        <v>2</v>
      </c>
      <c r="GN27" s="1"/>
      <c r="GO27" s="1">
        <v>2</v>
      </c>
      <c r="GP27" s="1">
        <v>2</v>
      </c>
      <c r="GQ27" s="1">
        <v>2</v>
      </c>
      <c r="GR27" s="1">
        <v>2</v>
      </c>
      <c r="GS27" s="1">
        <v>4</v>
      </c>
      <c r="GT27" s="1"/>
      <c r="GU27" s="1">
        <v>3</v>
      </c>
      <c r="GV27" s="1">
        <v>2</v>
      </c>
      <c r="GW27" s="1">
        <v>3</v>
      </c>
      <c r="GX27" s="1">
        <v>3</v>
      </c>
      <c r="GY27" s="1">
        <v>2</v>
      </c>
      <c r="GZ27" s="1"/>
      <c r="HA27" s="1">
        <v>3</v>
      </c>
      <c r="HB27" s="1">
        <v>2</v>
      </c>
      <c r="HC27" s="1">
        <v>3</v>
      </c>
      <c r="HD27" s="1">
        <v>4</v>
      </c>
      <c r="HE27" s="1">
        <v>4</v>
      </c>
    </row>
    <row r="28" spans="1:213" x14ac:dyDescent="0.25">
      <c r="A28" t="s">
        <v>199</v>
      </c>
      <c r="B28" t="s">
        <v>198</v>
      </c>
      <c r="C28">
        <v>44917</v>
      </c>
      <c r="E28" s="1">
        <v>3</v>
      </c>
      <c r="F28" s="1">
        <v>2</v>
      </c>
      <c r="G28" s="1">
        <v>2</v>
      </c>
      <c r="H28" s="1">
        <v>3</v>
      </c>
      <c r="I28" s="1">
        <v>2</v>
      </c>
      <c r="J28" s="1"/>
      <c r="K28" s="1">
        <v>3</v>
      </c>
      <c r="L28" s="1">
        <v>3</v>
      </c>
      <c r="M28" s="1">
        <v>3</v>
      </c>
      <c r="N28" s="1">
        <v>5</v>
      </c>
      <c r="O28" s="1">
        <v>2</v>
      </c>
      <c r="P28" s="1"/>
      <c r="Q28" s="1">
        <v>3</v>
      </c>
      <c r="R28" s="1">
        <v>3</v>
      </c>
      <c r="S28" s="1">
        <v>3</v>
      </c>
      <c r="T28" s="1">
        <v>3</v>
      </c>
      <c r="U28" s="1">
        <v>5</v>
      </c>
      <c r="V28" s="1"/>
      <c r="W28" s="1">
        <v>3</v>
      </c>
      <c r="X28" s="1">
        <v>3</v>
      </c>
      <c r="Y28" s="1">
        <v>3</v>
      </c>
      <c r="Z28" s="1">
        <v>3</v>
      </c>
      <c r="AA28" s="1">
        <v>4</v>
      </c>
      <c r="AB28" s="1"/>
      <c r="AC28" s="1">
        <v>1</v>
      </c>
      <c r="AD28" s="1">
        <v>2</v>
      </c>
      <c r="AE28" s="1">
        <v>2</v>
      </c>
      <c r="AF28" s="1">
        <v>2</v>
      </c>
      <c r="AG28" s="1">
        <v>5</v>
      </c>
      <c r="AH28" s="1"/>
      <c r="AI28" s="1">
        <v>2</v>
      </c>
      <c r="AJ28" s="1">
        <v>3</v>
      </c>
      <c r="AK28" s="1">
        <v>3</v>
      </c>
      <c r="AL28" s="1">
        <v>3</v>
      </c>
      <c r="AM28" s="1">
        <v>4</v>
      </c>
      <c r="AN28" s="1"/>
      <c r="AO28" s="1">
        <v>2</v>
      </c>
      <c r="AP28" s="1">
        <v>4</v>
      </c>
      <c r="AQ28" s="1">
        <v>4</v>
      </c>
      <c r="AR28" s="1">
        <v>2</v>
      </c>
      <c r="AS28" s="1">
        <v>3</v>
      </c>
      <c r="AT28" s="1"/>
      <c r="AU28" s="1">
        <v>3</v>
      </c>
      <c r="AV28" s="1">
        <v>3</v>
      </c>
      <c r="AW28" s="1">
        <v>2</v>
      </c>
      <c r="AX28" s="1">
        <v>2</v>
      </c>
      <c r="AY28" s="1">
        <v>3</v>
      </c>
      <c r="AZ28" s="1"/>
      <c r="BA28" s="1">
        <v>4</v>
      </c>
      <c r="BB28" s="1">
        <v>4</v>
      </c>
      <c r="BC28" s="1">
        <v>3</v>
      </c>
      <c r="BD28" s="1">
        <v>1</v>
      </c>
      <c r="BE28" s="1">
        <v>5</v>
      </c>
      <c r="BF28" s="1"/>
      <c r="BG28" s="1">
        <v>3</v>
      </c>
      <c r="BH28" s="1">
        <v>3</v>
      </c>
      <c r="BI28" s="1">
        <v>3</v>
      </c>
      <c r="BJ28" s="1">
        <v>3</v>
      </c>
      <c r="BK28" s="1">
        <v>5</v>
      </c>
      <c r="BL28" s="1"/>
      <c r="BM28" s="1">
        <v>3</v>
      </c>
      <c r="BN28" s="1">
        <v>2</v>
      </c>
      <c r="BO28" s="1">
        <v>5</v>
      </c>
      <c r="BP28" s="1">
        <v>3</v>
      </c>
      <c r="BQ28" s="1">
        <v>4</v>
      </c>
      <c r="BR28" s="1"/>
      <c r="BS28" s="1">
        <v>2</v>
      </c>
      <c r="BT28" s="1">
        <v>3</v>
      </c>
      <c r="BU28" s="1">
        <v>1</v>
      </c>
      <c r="BV28" s="1">
        <v>2</v>
      </c>
      <c r="BW28" s="1">
        <v>4</v>
      </c>
      <c r="BX28" s="1"/>
      <c r="BY28" s="1">
        <v>3</v>
      </c>
      <c r="BZ28" s="1">
        <v>3</v>
      </c>
      <c r="CA28" s="1">
        <v>2</v>
      </c>
      <c r="CB28" s="1">
        <v>4</v>
      </c>
      <c r="CC28" s="1">
        <v>5</v>
      </c>
      <c r="CD28" s="1"/>
      <c r="CE28" s="1">
        <v>3</v>
      </c>
      <c r="CF28" s="1">
        <v>2</v>
      </c>
      <c r="CG28" s="1">
        <v>2</v>
      </c>
      <c r="CH28" s="1">
        <v>3</v>
      </c>
      <c r="CI28" s="1">
        <v>5</v>
      </c>
      <c r="CJ28" s="1"/>
      <c r="CK28" s="1">
        <v>4</v>
      </c>
      <c r="CL28" s="1">
        <v>3</v>
      </c>
      <c r="CM28" s="1">
        <v>3</v>
      </c>
      <c r="CN28" s="1">
        <v>3</v>
      </c>
      <c r="CO28" s="1">
        <v>5</v>
      </c>
      <c r="CP28" s="1"/>
      <c r="CQ28" s="1">
        <v>4</v>
      </c>
      <c r="CR28" s="1">
        <v>3</v>
      </c>
      <c r="CS28" s="1">
        <v>4</v>
      </c>
      <c r="CT28" s="1">
        <v>3</v>
      </c>
      <c r="CU28" s="1">
        <v>3</v>
      </c>
      <c r="CV28" s="1"/>
      <c r="CW28" s="1">
        <v>3</v>
      </c>
      <c r="CX28" s="1">
        <v>3</v>
      </c>
      <c r="CY28" s="1">
        <v>3</v>
      </c>
      <c r="CZ28" s="1">
        <v>3</v>
      </c>
      <c r="DA28" s="1">
        <v>5</v>
      </c>
      <c r="DB28" s="1"/>
      <c r="DC28" s="1">
        <v>3</v>
      </c>
      <c r="DD28" s="1">
        <v>3</v>
      </c>
      <c r="DE28" s="1">
        <v>3</v>
      </c>
      <c r="DF28" s="1">
        <v>3</v>
      </c>
      <c r="DG28" s="1">
        <v>4</v>
      </c>
      <c r="DH28" s="1"/>
      <c r="DI28" s="1">
        <v>4</v>
      </c>
      <c r="DJ28" s="1">
        <v>2</v>
      </c>
      <c r="DK28" s="1">
        <v>3</v>
      </c>
      <c r="DL28" s="1">
        <v>2</v>
      </c>
      <c r="DM28" s="1">
        <v>5</v>
      </c>
      <c r="DN28" s="1"/>
      <c r="DO28" s="1">
        <v>2</v>
      </c>
      <c r="DP28" s="1">
        <v>3</v>
      </c>
      <c r="DQ28" s="1">
        <v>3</v>
      </c>
      <c r="DR28" s="1">
        <v>3</v>
      </c>
      <c r="DS28" s="1">
        <v>4</v>
      </c>
      <c r="DT28" s="1"/>
      <c r="DU28" s="1">
        <v>3</v>
      </c>
      <c r="DV28" s="1">
        <v>4</v>
      </c>
      <c r="DW28" s="1">
        <v>4</v>
      </c>
      <c r="DX28" s="1">
        <v>3</v>
      </c>
      <c r="DY28" s="1">
        <v>3</v>
      </c>
      <c r="DZ28" s="1"/>
      <c r="EA28" s="1">
        <v>4</v>
      </c>
      <c r="EB28" s="1">
        <v>1</v>
      </c>
      <c r="EC28" s="1">
        <v>4</v>
      </c>
      <c r="ED28" s="1">
        <v>1</v>
      </c>
      <c r="EE28" s="1">
        <v>5</v>
      </c>
      <c r="EF28" s="1"/>
      <c r="EG28" s="1">
        <v>3</v>
      </c>
      <c r="EH28" s="1">
        <v>3</v>
      </c>
      <c r="EI28" s="1">
        <v>3</v>
      </c>
      <c r="EJ28" s="1">
        <v>4</v>
      </c>
      <c r="EK28" s="1">
        <v>4</v>
      </c>
      <c r="EL28" s="1"/>
      <c r="EM28" s="1">
        <v>3</v>
      </c>
      <c r="EN28" s="1">
        <v>3</v>
      </c>
      <c r="EO28" s="1">
        <v>3</v>
      </c>
      <c r="EP28" s="1">
        <v>4</v>
      </c>
      <c r="EQ28" s="1">
        <v>4</v>
      </c>
      <c r="ER28" s="1"/>
      <c r="ES28" s="1">
        <v>3</v>
      </c>
      <c r="ET28" s="1">
        <v>2</v>
      </c>
      <c r="EU28" s="1">
        <v>3</v>
      </c>
      <c r="EV28" s="1">
        <v>2</v>
      </c>
      <c r="EW28" s="1">
        <v>5</v>
      </c>
      <c r="EX28" s="1"/>
      <c r="EY28" s="1">
        <v>3</v>
      </c>
      <c r="EZ28" s="1">
        <v>3</v>
      </c>
      <c r="FA28" s="1">
        <v>3</v>
      </c>
      <c r="FB28" s="1">
        <v>2</v>
      </c>
      <c r="FC28" s="1">
        <v>5</v>
      </c>
      <c r="FD28" s="1"/>
      <c r="FE28" s="1">
        <v>4</v>
      </c>
      <c r="FF28" s="1">
        <v>2</v>
      </c>
      <c r="FG28" s="1">
        <v>4</v>
      </c>
      <c r="FH28" s="1">
        <v>4</v>
      </c>
      <c r="FI28" s="1">
        <v>5</v>
      </c>
      <c r="FJ28" s="1"/>
      <c r="FK28" s="1">
        <v>3</v>
      </c>
      <c r="FL28" s="1">
        <v>3</v>
      </c>
      <c r="FM28" s="1">
        <v>2</v>
      </c>
      <c r="FN28" s="1">
        <v>3</v>
      </c>
      <c r="FO28" s="1">
        <v>5</v>
      </c>
      <c r="FP28" s="1"/>
      <c r="FQ28" s="1">
        <v>4</v>
      </c>
      <c r="FR28" s="1">
        <v>4</v>
      </c>
      <c r="FS28" s="1">
        <v>3</v>
      </c>
      <c r="FT28" s="1">
        <v>3</v>
      </c>
      <c r="FU28" s="1">
        <v>3</v>
      </c>
      <c r="FV28" s="1"/>
      <c r="FW28" s="1">
        <v>3</v>
      </c>
      <c r="FX28" s="1">
        <v>2</v>
      </c>
      <c r="FY28" s="1">
        <v>3</v>
      </c>
      <c r="FZ28" s="1">
        <v>3</v>
      </c>
      <c r="GA28" s="1">
        <v>4</v>
      </c>
      <c r="GB28" s="1"/>
      <c r="GC28" s="1">
        <v>2</v>
      </c>
      <c r="GD28" s="1">
        <v>2</v>
      </c>
      <c r="GE28" s="1">
        <v>3</v>
      </c>
      <c r="GF28" s="1">
        <v>1</v>
      </c>
      <c r="GG28" s="1">
        <v>1</v>
      </c>
      <c r="GH28" s="1"/>
      <c r="GI28" s="1">
        <v>3</v>
      </c>
      <c r="GJ28" s="1">
        <v>3</v>
      </c>
      <c r="GK28" s="1">
        <v>3</v>
      </c>
      <c r="GL28" s="1">
        <v>2</v>
      </c>
      <c r="GM28" s="1">
        <v>3</v>
      </c>
      <c r="GN28" s="1"/>
      <c r="GO28" s="1">
        <v>2</v>
      </c>
      <c r="GP28" s="1">
        <v>3</v>
      </c>
      <c r="GQ28" s="1">
        <v>2</v>
      </c>
      <c r="GR28" s="1">
        <v>3</v>
      </c>
      <c r="GS28" s="1">
        <v>5</v>
      </c>
      <c r="GT28" s="1"/>
      <c r="GU28" s="1">
        <v>4</v>
      </c>
      <c r="GV28" s="1">
        <v>3</v>
      </c>
      <c r="GW28" s="1">
        <v>4</v>
      </c>
      <c r="GX28" s="1">
        <v>3</v>
      </c>
      <c r="GY28" s="1">
        <v>5</v>
      </c>
      <c r="GZ28" s="1"/>
      <c r="HA28" s="1">
        <v>4</v>
      </c>
      <c r="HB28" s="1">
        <v>3</v>
      </c>
      <c r="HC28" s="1">
        <v>3</v>
      </c>
      <c r="HD28" s="1">
        <v>3</v>
      </c>
      <c r="HE28" s="1">
        <v>5</v>
      </c>
    </row>
    <row r="29" spans="1:213" x14ac:dyDescent="0.25">
      <c r="A29" t="s">
        <v>184</v>
      </c>
      <c r="E29" s="1">
        <f t="shared" ref="E29:I29" si="210">AVERAGE(E27:E28)</f>
        <v>3</v>
      </c>
      <c r="F29" s="1">
        <f t="shared" si="210"/>
        <v>2</v>
      </c>
      <c r="G29" s="1">
        <f t="shared" si="210"/>
        <v>2</v>
      </c>
      <c r="H29" s="1">
        <f t="shared" si="210"/>
        <v>2.5</v>
      </c>
      <c r="I29" s="1">
        <f t="shared" si="210"/>
        <v>3</v>
      </c>
      <c r="J29" s="1"/>
      <c r="K29" s="1">
        <f t="shared" ref="K29:O29" si="211">AVERAGE(K27:K28)</f>
        <v>2.5</v>
      </c>
      <c r="L29" s="1">
        <f t="shared" si="211"/>
        <v>2.5</v>
      </c>
      <c r="M29" s="1">
        <f t="shared" si="211"/>
        <v>3</v>
      </c>
      <c r="N29" s="1">
        <f t="shared" si="211"/>
        <v>3.5</v>
      </c>
      <c r="O29" s="1">
        <f t="shared" si="211"/>
        <v>3.5</v>
      </c>
      <c r="P29" s="1"/>
      <c r="Q29" s="1">
        <f t="shared" ref="Q29:U29" si="212">AVERAGE(Q27:Q28)</f>
        <v>2</v>
      </c>
      <c r="R29" s="1">
        <f t="shared" si="212"/>
        <v>2</v>
      </c>
      <c r="S29" s="1">
        <f t="shared" si="212"/>
        <v>3</v>
      </c>
      <c r="T29" s="1">
        <f t="shared" si="212"/>
        <v>2.5</v>
      </c>
      <c r="U29" s="1">
        <f t="shared" si="212"/>
        <v>5</v>
      </c>
      <c r="V29" s="1"/>
      <c r="W29" s="1">
        <f t="shared" ref="W29:AA29" si="213">AVERAGE(W27:W28)</f>
        <v>2.5</v>
      </c>
      <c r="X29" s="1">
        <f t="shared" si="213"/>
        <v>2.5</v>
      </c>
      <c r="Y29" s="1">
        <f t="shared" si="213"/>
        <v>3</v>
      </c>
      <c r="Z29" s="1">
        <f t="shared" si="213"/>
        <v>3</v>
      </c>
      <c r="AA29" s="1">
        <f t="shared" si="213"/>
        <v>4.5</v>
      </c>
      <c r="AB29" s="1"/>
      <c r="AC29" s="1">
        <f t="shared" ref="AC29:AG29" si="214">AVERAGE(AC27:AC28)</f>
        <v>2</v>
      </c>
      <c r="AD29" s="1">
        <f t="shared" si="214"/>
        <v>2.5</v>
      </c>
      <c r="AE29" s="1">
        <f t="shared" si="214"/>
        <v>2.5</v>
      </c>
      <c r="AF29" s="1">
        <f t="shared" si="214"/>
        <v>2</v>
      </c>
      <c r="AG29" s="1">
        <f t="shared" si="214"/>
        <v>4.5</v>
      </c>
      <c r="AH29" s="1"/>
      <c r="AI29" s="1">
        <f t="shared" ref="AI29:AM29" si="215">AVERAGE(AI27:AI28)</f>
        <v>1.5</v>
      </c>
      <c r="AJ29" s="1">
        <f t="shared" si="215"/>
        <v>2</v>
      </c>
      <c r="AK29" s="1">
        <f t="shared" si="215"/>
        <v>3</v>
      </c>
      <c r="AL29" s="1">
        <f t="shared" si="215"/>
        <v>3.5</v>
      </c>
      <c r="AM29" s="1">
        <f t="shared" si="215"/>
        <v>4.5</v>
      </c>
      <c r="AN29" s="1"/>
      <c r="AO29" s="1">
        <f t="shared" ref="AO29:AS29" si="216">AVERAGE(AO27:AO28)</f>
        <v>2</v>
      </c>
      <c r="AP29" s="1">
        <f t="shared" si="216"/>
        <v>4</v>
      </c>
      <c r="AQ29" s="1">
        <f t="shared" si="216"/>
        <v>3</v>
      </c>
      <c r="AR29" s="1">
        <f t="shared" si="216"/>
        <v>2.5</v>
      </c>
      <c r="AS29" s="1">
        <f t="shared" si="216"/>
        <v>3.5</v>
      </c>
      <c r="AT29" s="1"/>
      <c r="AU29" s="1">
        <f t="shared" ref="AU29:AY29" si="217">AVERAGE(AU27:AU28)</f>
        <v>2.5</v>
      </c>
      <c r="AV29" s="1">
        <f t="shared" si="217"/>
        <v>2.5</v>
      </c>
      <c r="AW29" s="1">
        <f t="shared" si="217"/>
        <v>2</v>
      </c>
      <c r="AX29" s="1">
        <f t="shared" si="217"/>
        <v>2</v>
      </c>
      <c r="AY29" s="1">
        <f t="shared" si="217"/>
        <v>2.5</v>
      </c>
      <c r="AZ29" s="1"/>
      <c r="BA29" s="1">
        <f t="shared" ref="BA29:BE29" si="218">AVERAGE(BA27:BA28)</f>
        <v>3.5</v>
      </c>
      <c r="BB29" s="1">
        <f t="shared" si="218"/>
        <v>3.5</v>
      </c>
      <c r="BC29" s="1">
        <f t="shared" si="218"/>
        <v>3</v>
      </c>
      <c r="BD29" s="1">
        <f t="shared" si="218"/>
        <v>2</v>
      </c>
      <c r="BE29" s="1">
        <f t="shared" si="218"/>
        <v>4</v>
      </c>
      <c r="BF29" s="1"/>
      <c r="BG29" s="1">
        <f t="shared" ref="BG29:BK29" si="219">AVERAGE(BG27:BG28)</f>
        <v>2.5</v>
      </c>
      <c r="BH29" s="1">
        <f t="shared" si="219"/>
        <v>3.5</v>
      </c>
      <c r="BI29" s="1">
        <f t="shared" si="219"/>
        <v>2.5</v>
      </c>
      <c r="BJ29" s="1">
        <f t="shared" si="219"/>
        <v>2.5</v>
      </c>
      <c r="BK29" s="1">
        <f t="shared" si="219"/>
        <v>5</v>
      </c>
      <c r="BL29" s="1"/>
      <c r="BM29" s="1">
        <f t="shared" ref="BM29:BQ29" si="220">AVERAGE(BM27:BM28)</f>
        <v>3</v>
      </c>
      <c r="BN29" s="1">
        <f t="shared" si="220"/>
        <v>1.5</v>
      </c>
      <c r="BO29" s="1">
        <f t="shared" si="220"/>
        <v>4.5</v>
      </c>
      <c r="BP29" s="1">
        <f t="shared" si="220"/>
        <v>2.5</v>
      </c>
      <c r="BQ29" s="1">
        <f t="shared" si="220"/>
        <v>3</v>
      </c>
      <c r="BR29" s="1"/>
      <c r="BS29" s="1">
        <f t="shared" ref="BS29:BW29" si="221">AVERAGE(BS27:BS28)</f>
        <v>2</v>
      </c>
      <c r="BT29" s="1">
        <f t="shared" si="221"/>
        <v>3.5</v>
      </c>
      <c r="BU29" s="1">
        <f t="shared" si="221"/>
        <v>2</v>
      </c>
      <c r="BV29" s="1">
        <f t="shared" si="221"/>
        <v>3</v>
      </c>
      <c r="BW29" s="1">
        <f t="shared" si="221"/>
        <v>3</v>
      </c>
      <c r="BX29" s="1"/>
      <c r="BY29" s="1">
        <f t="shared" ref="BY29:CC29" si="222">AVERAGE(BY27:BY28)</f>
        <v>3</v>
      </c>
      <c r="BZ29" s="1">
        <f t="shared" si="222"/>
        <v>3.5</v>
      </c>
      <c r="CA29" s="1">
        <f t="shared" si="222"/>
        <v>2</v>
      </c>
      <c r="CB29" s="1">
        <f t="shared" si="222"/>
        <v>3.5</v>
      </c>
      <c r="CC29" s="1">
        <f t="shared" si="222"/>
        <v>3.5</v>
      </c>
      <c r="CD29" s="1"/>
      <c r="CE29" s="1">
        <f t="shared" ref="CE29:CI29" si="223">AVERAGE(CE27:CE28)</f>
        <v>3.5</v>
      </c>
      <c r="CF29" s="1">
        <f t="shared" si="223"/>
        <v>2.5</v>
      </c>
      <c r="CG29" s="1">
        <f t="shared" si="223"/>
        <v>3</v>
      </c>
      <c r="CH29" s="1">
        <f t="shared" si="223"/>
        <v>2.5</v>
      </c>
      <c r="CI29" s="1">
        <f t="shared" si="223"/>
        <v>5</v>
      </c>
      <c r="CJ29" s="1"/>
      <c r="CK29" s="1">
        <f t="shared" ref="CK29:CO29" si="224">AVERAGE(CK27:CK28)</f>
        <v>4</v>
      </c>
      <c r="CL29" s="1">
        <f t="shared" si="224"/>
        <v>3</v>
      </c>
      <c r="CM29" s="1">
        <f t="shared" si="224"/>
        <v>3</v>
      </c>
      <c r="CN29" s="1">
        <f t="shared" si="224"/>
        <v>3</v>
      </c>
      <c r="CO29" s="1">
        <f t="shared" si="224"/>
        <v>5</v>
      </c>
      <c r="CP29" s="1"/>
      <c r="CQ29" s="1">
        <f t="shared" ref="CQ29:CU29" si="225">AVERAGE(CQ27:CQ28)</f>
        <v>3</v>
      </c>
      <c r="CR29" s="1">
        <f t="shared" si="225"/>
        <v>2.5</v>
      </c>
      <c r="CS29" s="1">
        <f t="shared" si="225"/>
        <v>3.5</v>
      </c>
      <c r="CT29" s="1">
        <f t="shared" si="225"/>
        <v>2.5</v>
      </c>
      <c r="CU29" s="1">
        <f t="shared" si="225"/>
        <v>4</v>
      </c>
      <c r="CV29" s="1"/>
      <c r="CW29" s="1">
        <f t="shared" ref="CW29:DA29" si="226">AVERAGE(CW27:CW28)</f>
        <v>3.5</v>
      </c>
      <c r="CX29" s="1">
        <f t="shared" si="226"/>
        <v>3</v>
      </c>
      <c r="CY29" s="1">
        <f t="shared" si="226"/>
        <v>3</v>
      </c>
      <c r="CZ29" s="1">
        <f t="shared" si="226"/>
        <v>3</v>
      </c>
      <c r="DA29" s="1">
        <f t="shared" si="226"/>
        <v>4.5</v>
      </c>
      <c r="DB29" s="1"/>
      <c r="DC29" s="1">
        <f t="shared" ref="DC29:DG29" si="227">AVERAGE(DC27:DC28)</f>
        <v>2.5</v>
      </c>
      <c r="DD29" s="1">
        <f t="shared" si="227"/>
        <v>2.5</v>
      </c>
      <c r="DE29" s="1">
        <f t="shared" si="227"/>
        <v>2.5</v>
      </c>
      <c r="DF29" s="1">
        <f t="shared" si="227"/>
        <v>2.5</v>
      </c>
      <c r="DG29" s="1">
        <f t="shared" si="227"/>
        <v>4</v>
      </c>
      <c r="DH29" s="1"/>
      <c r="DI29" s="1">
        <f t="shared" ref="DI29:DM29" si="228">AVERAGE(DI27:DI28)</f>
        <v>2.5</v>
      </c>
      <c r="DJ29" s="1">
        <f t="shared" si="228"/>
        <v>1.5</v>
      </c>
      <c r="DK29" s="1">
        <f t="shared" si="228"/>
        <v>3.5</v>
      </c>
      <c r="DL29" s="1">
        <f t="shared" si="228"/>
        <v>1.5</v>
      </c>
      <c r="DM29" s="1">
        <f t="shared" si="228"/>
        <v>5</v>
      </c>
      <c r="DN29" s="1"/>
      <c r="DO29" s="1">
        <f t="shared" ref="DO29:DS29" si="229">AVERAGE(DO27:DO28)</f>
        <v>2</v>
      </c>
      <c r="DP29" s="1">
        <f t="shared" si="229"/>
        <v>2</v>
      </c>
      <c r="DQ29" s="1">
        <f t="shared" si="229"/>
        <v>2</v>
      </c>
      <c r="DR29" s="1">
        <f t="shared" si="229"/>
        <v>2</v>
      </c>
      <c r="DS29" s="1">
        <f t="shared" si="229"/>
        <v>4</v>
      </c>
      <c r="DT29" s="1"/>
      <c r="DU29" s="1">
        <f t="shared" ref="DU29:DY29" si="230">AVERAGE(DU27:DU28)</f>
        <v>3.5</v>
      </c>
      <c r="DV29" s="1">
        <f t="shared" si="230"/>
        <v>3</v>
      </c>
      <c r="DW29" s="1">
        <f t="shared" si="230"/>
        <v>2.5</v>
      </c>
      <c r="DX29" s="1">
        <f t="shared" si="230"/>
        <v>2</v>
      </c>
      <c r="DY29" s="1">
        <f t="shared" si="230"/>
        <v>2</v>
      </c>
      <c r="DZ29" s="1"/>
      <c r="EA29" s="1">
        <f t="shared" ref="EA29:EE29" si="231">AVERAGE(EA27:EA28)</f>
        <v>3.5</v>
      </c>
      <c r="EB29" s="1">
        <f t="shared" si="231"/>
        <v>1.5</v>
      </c>
      <c r="EC29" s="1">
        <f t="shared" si="231"/>
        <v>3.5</v>
      </c>
      <c r="ED29" s="1">
        <f t="shared" si="231"/>
        <v>2</v>
      </c>
      <c r="EE29" s="1">
        <f t="shared" si="231"/>
        <v>5</v>
      </c>
      <c r="EF29" s="1"/>
      <c r="EG29" s="1">
        <f t="shared" ref="EG29:EK29" si="232">AVERAGE(EG27:EG28)</f>
        <v>2.5</v>
      </c>
      <c r="EH29" s="1">
        <f t="shared" si="232"/>
        <v>3</v>
      </c>
      <c r="EI29" s="1">
        <f t="shared" si="232"/>
        <v>3</v>
      </c>
      <c r="EJ29" s="1">
        <f t="shared" si="232"/>
        <v>3.5</v>
      </c>
      <c r="EK29" s="1">
        <f t="shared" si="232"/>
        <v>3.5</v>
      </c>
      <c r="EL29" s="1"/>
      <c r="EM29" s="1">
        <f t="shared" ref="EM29:EQ29" si="233">AVERAGE(EM27:EM28)</f>
        <v>3</v>
      </c>
      <c r="EN29" s="1">
        <f t="shared" si="233"/>
        <v>2.5</v>
      </c>
      <c r="EO29" s="1">
        <f t="shared" si="233"/>
        <v>2.5</v>
      </c>
      <c r="EP29" s="1">
        <f t="shared" si="233"/>
        <v>3</v>
      </c>
      <c r="EQ29" s="1">
        <f t="shared" si="233"/>
        <v>4</v>
      </c>
      <c r="ER29" s="1"/>
      <c r="ES29" s="1">
        <f t="shared" ref="ES29:EW29" si="234">AVERAGE(ES27:ES28)</f>
        <v>2.5</v>
      </c>
      <c r="ET29" s="1">
        <f t="shared" si="234"/>
        <v>1.5</v>
      </c>
      <c r="EU29" s="1">
        <f t="shared" si="234"/>
        <v>3.5</v>
      </c>
      <c r="EV29" s="1">
        <f t="shared" si="234"/>
        <v>2.5</v>
      </c>
      <c r="EW29" s="1">
        <f t="shared" si="234"/>
        <v>4.5</v>
      </c>
      <c r="EX29" s="1"/>
      <c r="EY29" s="1">
        <f t="shared" ref="EY29:FC29" si="235">AVERAGE(EY27:EY28)</f>
        <v>3</v>
      </c>
      <c r="EZ29" s="1">
        <f t="shared" si="235"/>
        <v>2</v>
      </c>
      <c r="FA29" s="1">
        <f t="shared" si="235"/>
        <v>2.5</v>
      </c>
      <c r="FB29" s="1">
        <f t="shared" si="235"/>
        <v>1.5</v>
      </c>
      <c r="FC29" s="1">
        <f t="shared" si="235"/>
        <v>4.5</v>
      </c>
      <c r="FD29" s="1"/>
      <c r="FE29" s="1">
        <f t="shared" ref="FE29:FI29" si="236">AVERAGE(FE27:FE28)</f>
        <v>3.5</v>
      </c>
      <c r="FF29" s="1">
        <f t="shared" si="236"/>
        <v>1.5</v>
      </c>
      <c r="FG29" s="1">
        <f t="shared" si="236"/>
        <v>3</v>
      </c>
      <c r="FH29" s="1">
        <f t="shared" si="236"/>
        <v>3.5</v>
      </c>
      <c r="FI29" s="1">
        <f t="shared" si="236"/>
        <v>4</v>
      </c>
      <c r="FJ29" s="1"/>
      <c r="FK29" s="1">
        <f t="shared" ref="FK29:FO29" si="237">AVERAGE(FK27:FK28)</f>
        <v>2.5</v>
      </c>
      <c r="FL29" s="1">
        <f t="shared" si="237"/>
        <v>2.5</v>
      </c>
      <c r="FM29" s="1">
        <f t="shared" si="237"/>
        <v>2</v>
      </c>
      <c r="FN29" s="1">
        <f t="shared" si="237"/>
        <v>3.5</v>
      </c>
      <c r="FO29" s="1">
        <f t="shared" si="237"/>
        <v>4</v>
      </c>
      <c r="FP29" s="1"/>
      <c r="FQ29" s="1">
        <f t="shared" ref="FQ29:FU29" si="238">AVERAGE(FQ27:FQ28)</f>
        <v>2.5</v>
      </c>
      <c r="FR29" s="1">
        <f t="shared" si="238"/>
        <v>3.5</v>
      </c>
      <c r="FS29" s="1">
        <f t="shared" si="238"/>
        <v>3</v>
      </c>
      <c r="FT29" s="1">
        <f t="shared" si="238"/>
        <v>2.5</v>
      </c>
      <c r="FU29" s="1">
        <f t="shared" si="238"/>
        <v>3.5</v>
      </c>
      <c r="FV29" s="1"/>
      <c r="FW29" s="1">
        <f t="shared" ref="FW29:GA29" si="239">AVERAGE(FW27:FW28)</f>
        <v>2</v>
      </c>
      <c r="FX29" s="1">
        <f t="shared" si="239"/>
        <v>1.5</v>
      </c>
      <c r="FY29" s="1">
        <f t="shared" si="239"/>
        <v>3</v>
      </c>
      <c r="FZ29" s="1">
        <f t="shared" si="239"/>
        <v>2</v>
      </c>
      <c r="GA29" s="1">
        <f t="shared" si="239"/>
        <v>4</v>
      </c>
      <c r="GB29" s="1"/>
      <c r="GC29" s="1">
        <f t="shared" ref="GC29:GG29" si="240">AVERAGE(GC27:GC28)</f>
        <v>2</v>
      </c>
      <c r="GD29" s="1">
        <f t="shared" si="240"/>
        <v>2</v>
      </c>
      <c r="GE29" s="1">
        <f t="shared" si="240"/>
        <v>2.5</v>
      </c>
      <c r="GF29" s="1">
        <f t="shared" si="240"/>
        <v>1.5</v>
      </c>
      <c r="GG29" s="1">
        <f t="shared" si="240"/>
        <v>1.5</v>
      </c>
      <c r="GH29" s="1"/>
      <c r="GI29" s="1">
        <f t="shared" ref="GI29:GM29" si="241">AVERAGE(GI27:GI28)</f>
        <v>3</v>
      </c>
      <c r="GJ29" s="1">
        <f t="shared" si="241"/>
        <v>3</v>
      </c>
      <c r="GK29" s="1">
        <f t="shared" si="241"/>
        <v>3</v>
      </c>
      <c r="GL29" s="1">
        <f t="shared" si="241"/>
        <v>2</v>
      </c>
      <c r="GM29" s="1">
        <f t="shared" si="241"/>
        <v>2.5</v>
      </c>
      <c r="GN29" s="1"/>
      <c r="GO29" s="1">
        <f t="shared" ref="GO29:GS29" si="242">AVERAGE(GO27:GO28)</f>
        <v>2</v>
      </c>
      <c r="GP29" s="1">
        <f t="shared" si="242"/>
        <v>2.5</v>
      </c>
      <c r="GQ29" s="1">
        <f t="shared" si="242"/>
        <v>2</v>
      </c>
      <c r="GR29" s="1">
        <f t="shared" si="242"/>
        <v>2.5</v>
      </c>
      <c r="GS29" s="1">
        <f t="shared" si="242"/>
        <v>4.5</v>
      </c>
      <c r="GT29" s="1"/>
      <c r="GU29" s="1">
        <f t="shared" ref="GU29:GY29" si="243">AVERAGE(GU27:GU28)</f>
        <v>3.5</v>
      </c>
      <c r="GV29" s="1">
        <f t="shared" si="243"/>
        <v>2.5</v>
      </c>
      <c r="GW29" s="1">
        <f t="shared" si="243"/>
        <v>3.5</v>
      </c>
      <c r="GX29" s="1">
        <f t="shared" si="243"/>
        <v>3</v>
      </c>
      <c r="GY29" s="1">
        <f t="shared" si="243"/>
        <v>3.5</v>
      </c>
      <c r="GZ29" s="1"/>
      <c r="HA29" s="1">
        <f t="shared" ref="HA29:HE29" si="244">AVERAGE(HA27:HA28)</f>
        <v>3.5</v>
      </c>
      <c r="HB29" s="1">
        <f t="shared" si="244"/>
        <v>2.5</v>
      </c>
      <c r="HC29" s="1">
        <f t="shared" si="244"/>
        <v>3</v>
      </c>
      <c r="HD29" s="1">
        <f t="shared" si="244"/>
        <v>3.5</v>
      </c>
      <c r="HE29" s="1">
        <f t="shared" si="244"/>
        <v>4.5</v>
      </c>
    </row>
    <row r="30" spans="1:213" x14ac:dyDescent="0.25"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</row>
    <row r="31" spans="1:213" x14ac:dyDescent="0.25">
      <c r="A31" t="s">
        <v>200</v>
      </c>
      <c r="B31" t="s">
        <v>201</v>
      </c>
      <c r="C31">
        <v>5602</v>
      </c>
      <c r="E31" s="1">
        <v>1</v>
      </c>
      <c r="F31" s="1">
        <v>2</v>
      </c>
      <c r="G31" s="1">
        <v>1</v>
      </c>
      <c r="H31" s="1">
        <v>1</v>
      </c>
      <c r="I31" s="1">
        <v>1</v>
      </c>
      <c r="J31" s="1"/>
      <c r="K31" s="1">
        <v>4</v>
      </c>
      <c r="L31" s="1">
        <v>3</v>
      </c>
      <c r="M31" s="1">
        <v>2</v>
      </c>
      <c r="N31" s="1">
        <v>4</v>
      </c>
      <c r="O31" s="1">
        <v>1</v>
      </c>
      <c r="P31" s="1"/>
      <c r="Q31" s="1">
        <v>1</v>
      </c>
      <c r="R31" s="1">
        <v>1</v>
      </c>
      <c r="S31" s="1">
        <v>1</v>
      </c>
      <c r="T31" s="1">
        <v>1</v>
      </c>
      <c r="U31" s="1">
        <v>2</v>
      </c>
      <c r="V31" s="1"/>
      <c r="W31" s="1">
        <v>1</v>
      </c>
      <c r="X31" s="1">
        <v>2</v>
      </c>
      <c r="Y31" s="1">
        <v>2</v>
      </c>
      <c r="Z31" s="1">
        <v>1</v>
      </c>
      <c r="AA31" s="1">
        <v>2</v>
      </c>
      <c r="AB31" s="1"/>
      <c r="AC31" s="1">
        <v>2</v>
      </c>
      <c r="AD31" s="1">
        <v>1</v>
      </c>
      <c r="AE31" s="1">
        <v>1</v>
      </c>
      <c r="AF31" s="1">
        <v>1</v>
      </c>
      <c r="AG31" s="1">
        <v>4</v>
      </c>
      <c r="AH31" s="1"/>
      <c r="AI31" s="1">
        <v>1</v>
      </c>
      <c r="AJ31" s="1">
        <v>1</v>
      </c>
      <c r="AK31" s="1">
        <v>2</v>
      </c>
      <c r="AL31" s="1">
        <v>4</v>
      </c>
      <c r="AM31" s="1">
        <v>2</v>
      </c>
      <c r="AN31" s="1"/>
      <c r="AO31" s="1">
        <v>1</v>
      </c>
      <c r="AP31" s="1">
        <v>3</v>
      </c>
      <c r="AQ31" s="1">
        <v>1</v>
      </c>
      <c r="AR31" s="1">
        <v>2</v>
      </c>
      <c r="AS31" s="1">
        <v>1</v>
      </c>
      <c r="AT31" s="1"/>
      <c r="AU31" s="1">
        <v>3</v>
      </c>
      <c r="AV31" s="1">
        <v>1</v>
      </c>
      <c r="AW31" s="1">
        <v>1</v>
      </c>
      <c r="AX31" s="1">
        <v>1</v>
      </c>
      <c r="AY31" s="1">
        <v>1</v>
      </c>
      <c r="AZ31" s="1"/>
      <c r="BA31" s="1">
        <v>2</v>
      </c>
      <c r="BB31" s="1">
        <v>2</v>
      </c>
      <c r="BC31" s="1">
        <v>2</v>
      </c>
      <c r="BD31" s="1">
        <v>2</v>
      </c>
      <c r="BE31" s="1">
        <v>2</v>
      </c>
      <c r="BF31" s="1"/>
      <c r="BG31" s="1">
        <v>1</v>
      </c>
      <c r="BH31" s="1">
        <v>1</v>
      </c>
      <c r="BI31" s="1">
        <v>1</v>
      </c>
      <c r="BJ31" s="1">
        <v>1</v>
      </c>
      <c r="BK31" s="1">
        <v>4</v>
      </c>
      <c r="BL31" s="1"/>
      <c r="BM31" s="1">
        <v>2</v>
      </c>
      <c r="BN31" s="1">
        <v>1</v>
      </c>
      <c r="BO31" s="1">
        <v>3</v>
      </c>
      <c r="BP31" s="1">
        <v>1</v>
      </c>
      <c r="BQ31" s="1">
        <v>2</v>
      </c>
      <c r="BR31" s="1"/>
      <c r="BS31" s="1">
        <v>1</v>
      </c>
      <c r="BT31" s="1">
        <v>2</v>
      </c>
      <c r="BU31" s="1">
        <v>1</v>
      </c>
      <c r="BV31" s="1">
        <v>2</v>
      </c>
      <c r="BW31" s="1">
        <v>1</v>
      </c>
      <c r="BX31" s="1"/>
      <c r="BY31" s="1">
        <v>2</v>
      </c>
      <c r="BZ31" s="1">
        <v>4</v>
      </c>
      <c r="CA31" s="1">
        <v>2</v>
      </c>
      <c r="CB31" s="1">
        <v>2</v>
      </c>
      <c r="CC31" s="1">
        <v>2</v>
      </c>
      <c r="CD31" s="1"/>
      <c r="CE31" s="1">
        <v>1</v>
      </c>
      <c r="CF31" s="1">
        <v>1</v>
      </c>
      <c r="CG31" s="1">
        <v>1</v>
      </c>
      <c r="CH31" s="1">
        <v>1</v>
      </c>
      <c r="CI31" s="1">
        <v>2</v>
      </c>
      <c r="CJ31" s="1"/>
      <c r="CK31" s="1">
        <v>1</v>
      </c>
      <c r="CL31" s="1">
        <v>1</v>
      </c>
      <c r="CM31" s="1">
        <v>1</v>
      </c>
      <c r="CN31" s="1">
        <v>1</v>
      </c>
      <c r="CO31" s="1">
        <v>4</v>
      </c>
      <c r="CP31" s="1"/>
      <c r="CQ31" s="1">
        <v>2</v>
      </c>
      <c r="CR31" s="1">
        <v>1</v>
      </c>
      <c r="CS31" s="1">
        <v>2</v>
      </c>
      <c r="CT31" s="1">
        <v>2</v>
      </c>
      <c r="CU31" s="1">
        <v>1</v>
      </c>
      <c r="CV31" s="1"/>
      <c r="CW31" s="1">
        <v>1</v>
      </c>
      <c r="CX31" s="1">
        <v>1</v>
      </c>
      <c r="CY31" s="1">
        <v>2</v>
      </c>
      <c r="CZ31" s="1">
        <v>1</v>
      </c>
      <c r="DA31" s="1">
        <v>2</v>
      </c>
      <c r="DB31" s="1"/>
      <c r="DC31" s="1">
        <v>3</v>
      </c>
      <c r="DD31" s="1">
        <v>1</v>
      </c>
      <c r="DE31" s="1">
        <v>1</v>
      </c>
      <c r="DF31" s="1">
        <v>1</v>
      </c>
      <c r="DG31" s="1">
        <v>1</v>
      </c>
      <c r="DH31" s="1"/>
      <c r="DI31" s="1">
        <v>1</v>
      </c>
      <c r="DJ31" s="1">
        <v>1</v>
      </c>
      <c r="DK31" s="1">
        <v>2</v>
      </c>
      <c r="DL31" s="1">
        <v>1</v>
      </c>
      <c r="DM31" s="1">
        <v>4</v>
      </c>
      <c r="DN31" s="1"/>
      <c r="DO31" s="1">
        <v>2</v>
      </c>
      <c r="DP31" s="1">
        <v>2</v>
      </c>
      <c r="DQ31" s="1">
        <v>3</v>
      </c>
      <c r="DR31" s="1">
        <v>2</v>
      </c>
      <c r="DS31" s="1">
        <v>2</v>
      </c>
      <c r="DT31" s="1"/>
      <c r="DU31" s="1">
        <v>1</v>
      </c>
      <c r="DV31" s="1">
        <v>3</v>
      </c>
      <c r="DW31" s="1">
        <v>2</v>
      </c>
      <c r="DX31" s="1">
        <v>3</v>
      </c>
      <c r="DY31" s="1">
        <v>1</v>
      </c>
      <c r="DZ31" s="1"/>
      <c r="EA31" s="1">
        <v>3</v>
      </c>
      <c r="EB31" s="1">
        <v>1</v>
      </c>
      <c r="EC31" s="1">
        <v>2</v>
      </c>
      <c r="ED31" s="1">
        <v>1</v>
      </c>
      <c r="EE31" s="1">
        <v>1</v>
      </c>
      <c r="EF31" s="1"/>
      <c r="EG31" s="1">
        <v>1</v>
      </c>
      <c r="EH31" s="1">
        <v>2</v>
      </c>
      <c r="EI31" s="1">
        <v>2</v>
      </c>
      <c r="EJ31" s="1">
        <v>2</v>
      </c>
      <c r="EK31" s="1">
        <v>3</v>
      </c>
      <c r="EL31" s="1"/>
      <c r="EM31" s="1">
        <v>1</v>
      </c>
      <c r="EN31" s="1">
        <v>1</v>
      </c>
      <c r="EO31" s="1">
        <v>1</v>
      </c>
      <c r="EP31" s="1">
        <v>1</v>
      </c>
      <c r="EQ31" s="1">
        <v>1</v>
      </c>
      <c r="ER31" s="1"/>
      <c r="ES31" s="1">
        <v>2</v>
      </c>
      <c r="ET31" s="1">
        <v>2</v>
      </c>
      <c r="EU31" s="1">
        <v>3</v>
      </c>
      <c r="EV31" s="1">
        <v>3</v>
      </c>
      <c r="EW31" s="1">
        <v>4</v>
      </c>
      <c r="EX31" s="1"/>
      <c r="EY31" s="1">
        <v>4</v>
      </c>
      <c r="EZ31" s="1">
        <v>1</v>
      </c>
      <c r="FA31" s="1">
        <v>1</v>
      </c>
      <c r="FB31" s="1">
        <v>1</v>
      </c>
      <c r="FC31" s="1">
        <v>2</v>
      </c>
      <c r="FD31" s="1"/>
      <c r="FE31" s="1">
        <v>2</v>
      </c>
      <c r="FF31" s="1">
        <v>1</v>
      </c>
      <c r="FG31" s="1">
        <v>1</v>
      </c>
      <c r="FH31" s="1">
        <v>3</v>
      </c>
      <c r="FI31" s="1">
        <v>2</v>
      </c>
      <c r="FJ31" s="1"/>
      <c r="FK31" s="1">
        <v>2</v>
      </c>
      <c r="FL31" s="1">
        <v>2</v>
      </c>
      <c r="FM31" s="1">
        <v>2</v>
      </c>
      <c r="FN31" s="1">
        <v>2</v>
      </c>
      <c r="FO31" s="1">
        <v>3</v>
      </c>
      <c r="FP31" s="1"/>
      <c r="FQ31" s="1">
        <v>1</v>
      </c>
      <c r="FR31" s="1">
        <v>1</v>
      </c>
      <c r="FS31" s="1">
        <v>2</v>
      </c>
      <c r="FT31" s="1">
        <v>2</v>
      </c>
      <c r="FU31" s="1">
        <v>3</v>
      </c>
      <c r="FV31" s="1"/>
      <c r="FW31" s="1">
        <v>1</v>
      </c>
      <c r="FX31" s="1">
        <v>1</v>
      </c>
      <c r="FY31" s="1">
        <v>2</v>
      </c>
      <c r="FZ31" s="1">
        <v>1</v>
      </c>
      <c r="GA31" s="1">
        <v>3</v>
      </c>
      <c r="GB31" s="1"/>
      <c r="GC31" s="1">
        <v>3</v>
      </c>
      <c r="GD31" s="1">
        <v>1</v>
      </c>
      <c r="GE31" s="1">
        <v>2</v>
      </c>
      <c r="GF31" s="1">
        <v>1</v>
      </c>
      <c r="GG31" s="1">
        <v>1</v>
      </c>
      <c r="GH31" s="1"/>
      <c r="GI31" s="1">
        <v>2</v>
      </c>
      <c r="GJ31" s="1">
        <v>1</v>
      </c>
      <c r="GK31" s="1">
        <v>2</v>
      </c>
      <c r="GL31" s="1">
        <v>1</v>
      </c>
      <c r="GM31" s="1">
        <v>1</v>
      </c>
      <c r="GN31" s="1"/>
      <c r="GO31" s="1">
        <v>2</v>
      </c>
      <c r="GP31" s="1">
        <v>1</v>
      </c>
      <c r="GQ31" s="1">
        <v>2</v>
      </c>
      <c r="GR31" s="1">
        <v>2</v>
      </c>
      <c r="GS31" s="1">
        <v>2</v>
      </c>
      <c r="GT31" s="1"/>
      <c r="GU31" s="1">
        <v>1</v>
      </c>
      <c r="GV31" s="1">
        <v>2</v>
      </c>
      <c r="GW31" s="1">
        <v>2</v>
      </c>
      <c r="GX31" s="1">
        <v>2</v>
      </c>
      <c r="GY31" s="1">
        <v>1</v>
      </c>
      <c r="GZ31" s="1"/>
      <c r="HA31" s="1">
        <v>2</v>
      </c>
      <c r="HB31" s="1">
        <v>2</v>
      </c>
      <c r="HC31" s="1">
        <v>1</v>
      </c>
      <c r="HD31" s="1">
        <v>3</v>
      </c>
      <c r="HE31" s="1">
        <v>3</v>
      </c>
    </row>
    <row r="32" spans="1:213" x14ac:dyDescent="0.25">
      <c r="A32" t="s">
        <v>202</v>
      </c>
      <c r="B32" t="s">
        <v>201</v>
      </c>
      <c r="C32">
        <v>10635</v>
      </c>
      <c r="E32" s="1">
        <v>1</v>
      </c>
      <c r="F32" s="1">
        <v>1</v>
      </c>
      <c r="G32" s="1">
        <v>1</v>
      </c>
      <c r="H32" s="1">
        <v>1</v>
      </c>
      <c r="I32" s="1">
        <v>2</v>
      </c>
      <c r="J32" s="1"/>
      <c r="K32" s="1">
        <v>3</v>
      </c>
      <c r="L32" s="1">
        <v>3</v>
      </c>
      <c r="M32" s="1">
        <v>3</v>
      </c>
      <c r="N32" s="1">
        <v>2</v>
      </c>
      <c r="O32" s="1">
        <v>1</v>
      </c>
      <c r="P32" s="1"/>
      <c r="Q32" s="1">
        <v>1</v>
      </c>
      <c r="R32" s="1">
        <v>2</v>
      </c>
      <c r="S32" s="1">
        <v>3</v>
      </c>
      <c r="T32" s="1">
        <v>1</v>
      </c>
      <c r="U32" s="1">
        <v>3</v>
      </c>
      <c r="V32" s="1"/>
      <c r="W32" s="1">
        <v>4</v>
      </c>
      <c r="X32" s="1">
        <v>2</v>
      </c>
      <c r="Y32" s="1">
        <v>2</v>
      </c>
      <c r="Z32" s="1">
        <v>4</v>
      </c>
      <c r="AA32" s="1">
        <v>1</v>
      </c>
      <c r="AB32" s="1"/>
      <c r="AC32" s="1">
        <v>2</v>
      </c>
      <c r="AD32" s="1">
        <v>2</v>
      </c>
      <c r="AE32" s="1">
        <v>2</v>
      </c>
      <c r="AF32" s="1">
        <v>3</v>
      </c>
      <c r="AG32" s="1">
        <v>2</v>
      </c>
      <c r="AH32" s="1"/>
      <c r="AI32" s="1">
        <v>2</v>
      </c>
      <c r="AJ32" s="1">
        <v>2</v>
      </c>
      <c r="AK32" s="1">
        <v>2</v>
      </c>
      <c r="AL32" s="1">
        <v>2</v>
      </c>
      <c r="AM32" s="1">
        <v>2</v>
      </c>
      <c r="AN32" s="1"/>
      <c r="AO32" s="1">
        <v>3</v>
      </c>
      <c r="AP32" s="1">
        <v>2</v>
      </c>
      <c r="AQ32" s="1">
        <v>3</v>
      </c>
      <c r="AR32" s="1">
        <v>3</v>
      </c>
      <c r="AS32" s="1">
        <v>1</v>
      </c>
      <c r="AT32" s="1"/>
      <c r="AU32" s="1">
        <v>1</v>
      </c>
      <c r="AV32" s="1">
        <v>1</v>
      </c>
      <c r="AW32" s="1">
        <v>2</v>
      </c>
      <c r="AX32" s="1">
        <v>1</v>
      </c>
      <c r="AY32" s="1">
        <v>1</v>
      </c>
      <c r="AZ32" s="1"/>
      <c r="BA32" s="1">
        <v>2</v>
      </c>
      <c r="BB32" s="1">
        <v>1</v>
      </c>
      <c r="BC32" s="1">
        <v>3</v>
      </c>
      <c r="BD32" s="1">
        <v>3</v>
      </c>
      <c r="BE32" s="1">
        <v>2</v>
      </c>
      <c r="BF32" s="1"/>
      <c r="BG32" s="1">
        <v>1</v>
      </c>
      <c r="BH32" s="1">
        <v>1</v>
      </c>
      <c r="BI32" s="1">
        <v>1</v>
      </c>
      <c r="BJ32" s="1">
        <v>1</v>
      </c>
      <c r="BK32" s="1">
        <v>2</v>
      </c>
      <c r="BL32" s="1"/>
      <c r="BM32" s="1">
        <v>2</v>
      </c>
      <c r="BN32" s="1">
        <v>1</v>
      </c>
      <c r="BO32" s="1">
        <v>5</v>
      </c>
      <c r="BP32" s="1">
        <v>2</v>
      </c>
      <c r="BQ32" s="1">
        <v>1</v>
      </c>
      <c r="BR32" s="1"/>
      <c r="BS32" s="1">
        <v>1</v>
      </c>
      <c r="BT32" s="1">
        <v>2</v>
      </c>
      <c r="BU32" s="1">
        <v>2</v>
      </c>
      <c r="BV32" s="1">
        <v>1</v>
      </c>
      <c r="BW32" s="1">
        <v>2</v>
      </c>
      <c r="BX32" s="1"/>
      <c r="BY32" s="1">
        <v>1</v>
      </c>
      <c r="BZ32" s="1">
        <v>1</v>
      </c>
      <c r="CA32" s="1">
        <v>3</v>
      </c>
      <c r="CB32" s="1">
        <v>3</v>
      </c>
      <c r="CC32" s="1">
        <v>2</v>
      </c>
      <c r="CD32" s="1"/>
      <c r="CE32" s="1">
        <v>3</v>
      </c>
      <c r="CF32" s="1">
        <v>2</v>
      </c>
      <c r="CG32" s="1">
        <v>2</v>
      </c>
      <c r="CH32" s="1">
        <v>1</v>
      </c>
      <c r="CI32" s="1">
        <v>3</v>
      </c>
      <c r="CJ32" s="1"/>
      <c r="CK32" s="1">
        <v>2</v>
      </c>
      <c r="CL32" s="1">
        <v>3</v>
      </c>
      <c r="CM32" s="1">
        <v>4</v>
      </c>
      <c r="CN32" s="1">
        <v>3</v>
      </c>
      <c r="CO32" s="1">
        <v>1</v>
      </c>
      <c r="CP32" s="1"/>
      <c r="CQ32" s="1">
        <v>3</v>
      </c>
      <c r="CR32" s="1">
        <v>3</v>
      </c>
      <c r="CS32" s="1">
        <v>2</v>
      </c>
      <c r="CT32" s="1">
        <v>3</v>
      </c>
      <c r="CU32" s="1">
        <v>1</v>
      </c>
      <c r="CV32" s="1"/>
      <c r="CW32" s="1">
        <v>2</v>
      </c>
      <c r="CX32" s="1">
        <v>2</v>
      </c>
      <c r="CY32" s="1">
        <v>1</v>
      </c>
      <c r="CZ32" s="1">
        <v>3</v>
      </c>
      <c r="DA32" s="1">
        <v>3</v>
      </c>
      <c r="DB32" s="1"/>
      <c r="DC32" s="1">
        <v>4</v>
      </c>
      <c r="DD32" s="1">
        <v>2</v>
      </c>
      <c r="DE32" s="1">
        <v>3</v>
      </c>
      <c r="DF32" s="1">
        <v>1</v>
      </c>
      <c r="DG32" s="1">
        <v>1</v>
      </c>
      <c r="DH32" s="1"/>
      <c r="DI32" s="1">
        <v>1</v>
      </c>
      <c r="DJ32" s="1">
        <v>1</v>
      </c>
      <c r="DK32" s="1">
        <v>2</v>
      </c>
      <c r="DL32" s="1">
        <v>2</v>
      </c>
      <c r="DM32" s="1">
        <v>3</v>
      </c>
      <c r="DN32" s="1"/>
      <c r="DO32" s="1">
        <v>1</v>
      </c>
      <c r="DP32" s="1">
        <v>3</v>
      </c>
      <c r="DQ32" s="1">
        <v>1</v>
      </c>
      <c r="DR32" s="1">
        <v>1</v>
      </c>
      <c r="DS32" s="1">
        <v>1</v>
      </c>
      <c r="DT32" s="1"/>
      <c r="DU32" s="1">
        <v>2</v>
      </c>
      <c r="DV32" s="1">
        <v>2</v>
      </c>
      <c r="DW32" s="1">
        <v>2</v>
      </c>
      <c r="DX32" s="1">
        <v>3</v>
      </c>
      <c r="DY32" s="1">
        <v>1</v>
      </c>
      <c r="DZ32" s="1"/>
      <c r="EA32" s="1">
        <v>2</v>
      </c>
      <c r="EB32" s="1">
        <v>1</v>
      </c>
      <c r="EC32" s="1">
        <v>2</v>
      </c>
      <c r="ED32" s="1">
        <v>1</v>
      </c>
      <c r="EE32" s="1">
        <v>1</v>
      </c>
      <c r="EF32" s="1"/>
      <c r="EG32" s="1">
        <v>2</v>
      </c>
      <c r="EH32" s="1">
        <v>2</v>
      </c>
      <c r="EI32" s="1">
        <v>3</v>
      </c>
      <c r="EJ32" s="1">
        <v>2</v>
      </c>
      <c r="EK32" s="1">
        <v>1</v>
      </c>
      <c r="EL32" s="1"/>
      <c r="EM32" s="1">
        <v>3</v>
      </c>
      <c r="EN32" s="1">
        <v>4</v>
      </c>
      <c r="EO32" s="1">
        <v>4</v>
      </c>
      <c r="EP32" s="1">
        <v>1</v>
      </c>
      <c r="EQ32" s="1">
        <v>1</v>
      </c>
      <c r="ER32" s="1"/>
      <c r="ES32" s="1">
        <v>1</v>
      </c>
      <c r="ET32" s="1">
        <v>1</v>
      </c>
      <c r="EU32" s="1">
        <v>4</v>
      </c>
      <c r="EV32" s="1">
        <v>3</v>
      </c>
      <c r="EW32" s="1">
        <v>4</v>
      </c>
      <c r="EX32" s="1"/>
      <c r="EY32" s="1">
        <v>2</v>
      </c>
      <c r="EZ32" s="1">
        <v>2</v>
      </c>
      <c r="FA32" s="1">
        <v>3</v>
      </c>
      <c r="FB32" s="1">
        <v>1</v>
      </c>
      <c r="FC32" s="1">
        <v>1</v>
      </c>
      <c r="FD32" s="1"/>
      <c r="FE32" s="1">
        <v>2</v>
      </c>
      <c r="FF32" s="1">
        <v>2</v>
      </c>
      <c r="FG32" s="1">
        <v>2</v>
      </c>
      <c r="FH32" s="1">
        <v>2</v>
      </c>
      <c r="FI32" s="1">
        <v>1</v>
      </c>
      <c r="FJ32" s="1"/>
      <c r="FK32" s="1">
        <v>2</v>
      </c>
      <c r="FL32" s="1">
        <v>2</v>
      </c>
      <c r="FM32" s="1">
        <v>2</v>
      </c>
      <c r="FN32" s="1">
        <v>2</v>
      </c>
      <c r="FO32" s="1">
        <v>3</v>
      </c>
      <c r="FP32" s="1"/>
      <c r="FQ32" s="1">
        <v>1</v>
      </c>
      <c r="FR32" s="1">
        <v>2</v>
      </c>
      <c r="FS32" s="1">
        <v>2</v>
      </c>
      <c r="FT32" s="1">
        <v>3</v>
      </c>
      <c r="FU32" s="1">
        <v>1</v>
      </c>
      <c r="FV32" s="1"/>
      <c r="FW32" s="1">
        <v>1</v>
      </c>
      <c r="FX32" s="1">
        <v>2</v>
      </c>
      <c r="FY32" s="1">
        <v>4</v>
      </c>
      <c r="FZ32" s="1">
        <v>1</v>
      </c>
      <c r="GA32" s="1">
        <v>4</v>
      </c>
      <c r="GB32" s="1"/>
      <c r="GC32" s="1">
        <v>4</v>
      </c>
      <c r="GD32" s="1">
        <v>2</v>
      </c>
      <c r="GE32" s="1">
        <v>3</v>
      </c>
      <c r="GF32" s="1">
        <v>3</v>
      </c>
      <c r="GG32" s="1">
        <v>3</v>
      </c>
      <c r="GH32" s="1"/>
      <c r="GI32" s="1">
        <v>4</v>
      </c>
      <c r="GJ32" s="1">
        <v>3</v>
      </c>
      <c r="GK32" s="1">
        <v>4</v>
      </c>
      <c r="GL32" s="1">
        <v>3</v>
      </c>
      <c r="GM32" s="1">
        <v>1</v>
      </c>
      <c r="GN32" s="1"/>
      <c r="GO32" s="1">
        <v>2</v>
      </c>
      <c r="GP32" s="1">
        <v>4</v>
      </c>
      <c r="GQ32" s="1">
        <v>4</v>
      </c>
      <c r="GR32" s="1">
        <v>3</v>
      </c>
      <c r="GS32" s="1">
        <v>1</v>
      </c>
      <c r="GT32" s="1"/>
      <c r="GU32" s="1">
        <v>2</v>
      </c>
      <c r="GV32" s="1">
        <v>1</v>
      </c>
      <c r="GW32" s="1">
        <v>2</v>
      </c>
      <c r="GX32" s="1">
        <v>2</v>
      </c>
      <c r="GY32" s="1">
        <v>1</v>
      </c>
      <c r="GZ32" s="1"/>
      <c r="HA32" s="1">
        <v>1</v>
      </c>
      <c r="HB32" s="1">
        <v>2</v>
      </c>
      <c r="HC32" s="1">
        <v>1</v>
      </c>
      <c r="HD32" s="1">
        <v>2</v>
      </c>
      <c r="HE32" s="1">
        <v>1</v>
      </c>
    </row>
    <row r="33" spans="1:213" x14ac:dyDescent="0.25">
      <c r="A33" t="s">
        <v>203</v>
      </c>
      <c r="B33" t="s">
        <v>201</v>
      </c>
      <c r="C33">
        <v>11481</v>
      </c>
      <c r="E33" s="1">
        <v>2</v>
      </c>
      <c r="F33" s="1">
        <v>2</v>
      </c>
      <c r="G33" s="1">
        <v>2</v>
      </c>
      <c r="H33" s="1">
        <v>2</v>
      </c>
      <c r="I33" s="1">
        <v>2</v>
      </c>
      <c r="J33" s="1"/>
      <c r="K33" s="1">
        <v>2</v>
      </c>
      <c r="L33" s="1">
        <v>2</v>
      </c>
      <c r="M33" s="1">
        <v>2</v>
      </c>
      <c r="N33" s="1">
        <v>4</v>
      </c>
      <c r="O33" s="1">
        <v>3</v>
      </c>
      <c r="P33" s="1"/>
      <c r="Q33" s="1">
        <v>4</v>
      </c>
      <c r="R33" s="1">
        <v>2</v>
      </c>
      <c r="S33" s="1">
        <v>2</v>
      </c>
      <c r="T33" s="1">
        <v>1</v>
      </c>
      <c r="U33" s="1">
        <v>5</v>
      </c>
      <c r="V33" s="1"/>
      <c r="W33" s="1">
        <v>4</v>
      </c>
      <c r="X33" s="1">
        <v>4</v>
      </c>
      <c r="Y33" s="1">
        <v>2</v>
      </c>
      <c r="Z33" s="1">
        <v>2</v>
      </c>
      <c r="AA33" s="1">
        <v>5</v>
      </c>
      <c r="AB33" s="1"/>
      <c r="AC33" s="1">
        <v>2</v>
      </c>
      <c r="AD33" s="1">
        <v>2</v>
      </c>
      <c r="AE33" s="1">
        <v>2</v>
      </c>
      <c r="AF33" s="1">
        <v>2</v>
      </c>
      <c r="AG33" s="1">
        <v>5</v>
      </c>
      <c r="AH33" s="1"/>
      <c r="AI33" s="1">
        <v>2</v>
      </c>
      <c r="AJ33" s="1">
        <v>2</v>
      </c>
      <c r="AK33" s="1">
        <v>2</v>
      </c>
      <c r="AL33" s="1">
        <v>4</v>
      </c>
      <c r="AM33" s="1">
        <v>4</v>
      </c>
      <c r="AN33" s="1"/>
      <c r="AO33" s="1">
        <v>2</v>
      </c>
      <c r="AP33" s="1">
        <v>4</v>
      </c>
      <c r="AQ33" s="1">
        <v>2</v>
      </c>
      <c r="AR33" s="1">
        <v>5</v>
      </c>
      <c r="AS33" s="1">
        <v>5</v>
      </c>
      <c r="AT33" s="1"/>
      <c r="AU33" s="1">
        <v>2</v>
      </c>
      <c r="AV33" s="1">
        <v>2</v>
      </c>
      <c r="AW33" s="1">
        <v>4</v>
      </c>
      <c r="AX33" s="1">
        <v>2</v>
      </c>
      <c r="AY33" s="1">
        <v>2</v>
      </c>
      <c r="AZ33" s="1"/>
      <c r="BA33" s="1">
        <v>2</v>
      </c>
      <c r="BB33" s="1">
        <v>2</v>
      </c>
      <c r="BC33" s="1">
        <v>5</v>
      </c>
      <c r="BD33" s="1">
        <v>4</v>
      </c>
      <c r="BE33" s="1">
        <v>4</v>
      </c>
      <c r="BF33" s="1"/>
      <c r="BG33" s="1">
        <v>1</v>
      </c>
      <c r="BH33" s="1">
        <v>2</v>
      </c>
      <c r="BI33" s="1">
        <v>2</v>
      </c>
      <c r="BJ33" s="1">
        <v>2</v>
      </c>
      <c r="BK33" s="1">
        <v>3</v>
      </c>
      <c r="BL33" s="1"/>
      <c r="BM33" s="1">
        <v>2</v>
      </c>
      <c r="BN33" s="1">
        <v>2</v>
      </c>
      <c r="BO33" s="1">
        <v>4</v>
      </c>
      <c r="BP33" s="1">
        <v>2</v>
      </c>
      <c r="BQ33" s="1">
        <v>2</v>
      </c>
      <c r="BR33" s="1"/>
      <c r="BS33" s="1">
        <v>2</v>
      </c>
      <c r="BT33" s="1">
        <v>2</v>
      </c>
      <c r="BU33" s="1">
        <v>2</v>
      </c>
      <c r="BV33" s="1">
        <v>2</v>
      </c>
      <c r="BW33" s="1">
        <v>2</v>
      </c>
      <c r="BX33" s="1"/>
      <c r="BY33" s="1">
        <v>4</v>
      </c>
      <c r="BZ33" s="1">
        <v>4</v>
      </c>
      <c r="CA33" s="1">
        <v>3</v>
      </c>
      <c r="CB33" s="1">
        <v>2</v>
      </c>
      <c r="CC33" s="1">
        <v>3</v>
      </c>
      <c r="CD33" s="1"/>
      <c r="CE33" s="1">
        <v>2</v>
      </c>
      <c r="CF33" s="1">
        <v>2</v>
      </c>
      <c r="CG33" s="1">
        <v>2</v>
      </c>
      <c r="CH33" s="1">
        <v>2</v>
      </c>
      <c r="CI33" s="1">
        <v>5</v>
      </c>
      <c r="CJ33" s="1"/>
      <c r="CK33" s="1">
        <v>2</v>
      </c>
      <c r="CL33" s="1">
        <v>2</v>
      </c>
      <c r="CM33" s="1">
        <v>2</v>
      </c>
      <c r="CN33" s="1">
        <v>2</v>
      </c>
      <c r="CO33" s="1">
        <v>4</v>
      </c>
      <c r="CP33" s="1"/>
      <c r="CQ33" s="1">
        <v>4</v>
      </c>
      <c r="CR33" s="1">
        <v>2</v>
      </c>
      <c r="CS33" s="1">
        <v>2</v>
      </c>
      <c r="CT33" s="1">
        <v>4</v>
      </c>
      <c r="CU33" s="1">
        <v>2</v>
      </c>
      <c r="CV33" s="1"/>
      <c r="CW33" s="1">
        <v>2</v>
      </c>
      <c r="CX33" s="1">
        <v>2</v>
      </c>
      <c r="CY33" s="1">
        <v>2</v>
      </c>
      <c r="CZ33" s="1">
        <v>4</v>
      </c>
      <c r="DA33" s="1">
        <v>4</v>
      </c>
      <c r="DB33" s="1"/>
      <c r="DC33" s="1">
        <v>2</v>
      </c>
      <c r="DD33" s="1">
        <v>4</v>
      </c>
      <c r="DE33" s="1">
        <v>4</v>
      </c>
      <c r="DF33" s="1">
        <v>2</v>
      </c>
      <c r="DG33" s="1">
        <v>2</v>
      </c>
      <c r="DH33" s="1"/>
      <c r="DI33" s="1">
        <v>2</v>
      </c>
      <c r="DJ33" s="1">
        <v>2</v>
      </c>
      <c r="DK33" s="1">
        <v>4</v>
      </c>
      <c r="DL33" s="1">
        <v>2</v>
      </c>
      <c r="DM33" s="1">
        <v>4</v>
      </c>
      <c r="DN33" s="1"/>
      <c r="DO33" s="1">
        <v>2</v>
      </c>
      <c r="DP33" s="1">
        <v>2</v>
      </c>
      <c r="DQ33" s="1">
        <v>2</v>
      </c>
      <c r="DR33" s="1">
        <v>2</v>
      </c>
      <c r="DS33" s="1">
        <v>3</v>
      </c>
      <c r="DT33" s="1"/>
      <c r="DU33" s="1">
        <v>2</v>
      </c>
      <c r="DV33" s="1">
        <v>2</v>
      </c>
      <c r="DW33" s="1">
        <v>4</v>
      </c>
      <c r="DX33" s="1">
        <v>2</v>
      </c>
      <c r="DY33" s="1">
        <v>3</v>
      </c>
      <c r="DZ33" s="1"/>
      <c r="EA33" s="1">
        <v>2</v>
      </c>
      <c r="EB33" s="1">
        <v>2</v>
      </c>
      <c r="EC33" s="1">
        <v>2</v>
      </c>
      <c r="ED33" s="1">
        <v>2</v>
      </c>
      <c r="EE33" s="1">
        <v>4</v>
      </c>
      <c r="EF33" s="1"/>
      <c r="EG33" s="1">
        <v>2</v>
      </c>
      <c r="EH33" s="1">
        <v>2</v>
      </c>
      <c r="EI33" s="1">
        <v>4</v>
      </c>
      <c r="EJ33" s="1">
        <v>2</v>
      </c>
      <c r="EK33" s="1">
        <v>2</v>
      </c>
      <c r="EL33" s="1"/>
      <c r="EM33" s="1">
        <v>2</v>
      </c>
      <c r="EN33" s="1">
        <v>2</v>
      </c>
      <c r="EO33" s="1">
        <v>4</v>
      </c>
      <c r="EP33" s="1">
        <v>2</v>
      </c>
      <c r="EQ33" s="1">
        <v>2</v>
      </c>
      <c r="ER33" s="1"/>
      <c r="ES33" s="1">
        <v>2</v>
      </c>
      <c r="ET33" s="1">
        <v>4</v>
      </c>
      <c r="EU33" s="1">
        <v>4</v>
      </c>
      <c r="EV33" s="1">
        <v>4</v>
      </c>
      <c r="EW33" s="1">
        <v>4</v>
      </c>
      <c r="EX33" s="1"/>
      <c r="EY33" s="1">
        <v>2</v>
      </c>
      <c r="EZ33" s="1">
        <v>2</v>
      </c>
      <c r="FA33" s="1">
        <v>2</v>
      </c>
      <c r="FB33" s="1">
        <v>2</v>
      </c>
      <c r="FC33" s="1">
        <v>4</v>
      </c>
      <c r="FD33" s="1"/>
      <c r="FE33" s="1">
        <v>2</v>
      </c>
      <c r="FF33" s="1">
        <v>2</v>
      </c>
      <c r="FG33" s="1">
        <v>2</v>
      </c>
      <c r="FH33" s="1">
        <v>2</v>
      </c>
      <c r="FI33" s="1">
        <v>4</v>
      </c>
      <c r="FJ33" s="1"/>
      <c r="FK33" s="1">
        <v>3</v>
      </c>
      <c r="FL33" s="1">
        <v>2</v>
      </c>
      <c r="FM33" s="1">
        <v>2</v>
      </c>
      <c r="FN33" s="1">
        <v>4</v>
      </c>
      <c r="FO33" s="1">
        <v>5</v>
      </c>
      <c r="FP33" s="1"/>
      <c r="FQ33" s="1">
        <v>4</v>
      </c>
      <c r="FR33" s="1">
        <v>5</v>
      </c>
      <c r="FS33" s="1">
        <v>3</v>
      </c>
      <c r="FT33" s="1">
        <v>4</v>
      </c>
      <c r="FU33" s="1">
        <v>2</v>
      </c>
      <c r="FV33" s="1"/>
      <c r="FW33" s="1">
        <v>2</v>
      </c>
      <c r="FX33" s="1">
        <v>2</v>
      </c>
      <c r="FY33" s="1">
        <v>4</v>
      </c>
      <c r="FZ33" s="1">
        <v>2</v>
      </c>
      <c r="GA33" s="1">
        <v>4</v>
      </c>
      <c r="GB33" s="1"/>
      <c r="GC33" s="1">
        <v>2</v>
      </c>
      <c r="GD33" s="1">
        <v>2</v>
      </c>
      <c r="GE33" s="1">
        <v>2</v>
      </c>
      <c r="GF33" s="1">
        <v>2</v>
      </c>
      <c r="GG33" s="1">
        <v>2</v>
      </c>
      <c r="GH33" s="1"/>
      <c r="GI33" s="1">
        <v>4</v>
      </c>
      <c r="GJ33" s="1">
        <v>4</v>
      </c>
      <c r="GK33" s="1">
        <v>4</v>
      </c>
      <c r="GL33" s="1">
        <v>2</v>
      </c>
      <c r="GM33" s="1">
        <v>4</v>
      </c>
      <c r="GN33" s="1"/>
      <c r="GO33" s="1">
        <v>3</v>
      </c>
      <c r="GP33" s="1">
        <v>2</v>
      </c>
      <c r="GQ33" s="1">
        <v>3</v>
      </c>
      <c r="GR33" s="1">
        <v>4</v>
      </c>
      <c r="GS33" s="1">
        <v>3</v>
      </c>
      <c r="GT33" s="1"/>
      <c r="GU33" s="1">
        <v>4</v>
      </c>
      <c r="GV33" s="1">
        <v>2</v>
      </c>
      <c r="GW33" s="1">
        <v>2</v>
      </c>
      <c r="GX33" s="1">
        <v>2</v>
      </c>
      <c r="GY33" s="1">
        <v>3</v>
      </c>
      <c r="GZ33" s="1"/>
      <c r="HA33" s="1">
        <v>2</v>
      </c>
      <c r="HB33" s="1">
        <v>2</v>
      </c>
      <c r="HC33" s="1">
        <v>2</v>
      </c>
      <c r="HD33" s="1">
        <v>4</v>
      </c>
      <c r="HE33" s="1">
        <v>2</v>
      </c>
    </row>
    <row r="34" spans="1:213" x14ac:dyDescent="0.25">
      <c r="A34" t="s">
        <v>204</v>
      </c>
      <c r="B34" t="s">
        <v>201</v>
      </c>
      <c r="C34">
        <v>7648</v>
      </c>
      <c r="E34" s="1">
        <v>3</v>
      </c>
      <c r="F34" s="1">
        <v>2</v>
      </c>
      <c r="G34" s="1">
        <v>3</v>
      </c>
      <c r="H34" s="1">
        <v>4</v>
      </c>
      <c r="I34" s="1">
        <v>2</v>
      </c>
      <c r="J34" s="1"/>
      <c r="K34" s="1">
        <v>4</v>
      </c>
      <c r="L34" s="1">
        <v>4</v>
      </c>
      <c r="M34" s="1">
        <v>4</v>
      </c>
      <c r="N34" s="1">
        <v>5</v>
      </c>
      <c r="O34" s="1">
        <v>3</v>
      </c>
      <c r="P34" s="1"/>
      <c r="Q34" s="1">
        <v>4</v>
      </c>
      <c r="R34" s="1">
        <v>4</v>
      </c>
      <c r="S34" s="1">
        <v>3</v>
      </c>
      <c r="T34" s="1">
        <v>3</v>
      </c>
      <c r="U34" s="1">
        <v>5</v>
      </c>
      <c r="V34" s="1"/>
      <c r="W34" s="1">
        <v>4</v>
      </c>
      <c r="X34" s="1">
        <v>4</v>
      </c>
      <c r="Y34" s="1">
        <v>4</v>
      </c>
      <c r="Z34" s="1">
        <v>4</v>
      </c>
      <c r="AA34" s="1">
        <v>4</v>
      </c>
      <c r="AB34" s="1"/>
      <c r="AC34" s="1">
        <v>3</v>
      </c>
      <c r="AD34" s="1">
        <v>3</v>
      </c>
      <c r="AE34" s="1">
        <v>3</v>
      </c>
      <c r="AF34" s="1">
        <v>3</v>
      </c>
      <c r="AG34" s="1">
        <v>4</v>
      </c>
      <c r="AH34" s="1"/>
      <c r="AI34" s="1">
        <v>4</v>
      </c>
      <c r="AJ34" s="1">
        <v>2</v>
      </c>
      <c r="AK34" s="1">
        <v>4</v>
      </c>
      <c r="AL34" s="1">
        <v>5</v>
      </c>
      <c r="AM34" s="1">
        <v>5</v>
      </c>
      <c r="AN34" s="1"/>
      <c r="AO34" s="1">
        <v>4</v>
      </c>
      <c r="AP34" s="1">
        <v>5</v>
      </c>
      <c r="AQ34" s="1">
        <v>4</v>
      </c>
      <c r="AR34" s="1">
        <v>4</v>
      </c>
      <c r="AS34" s="1">
        <v>5</v>
      </c>
      <c r="AT34" s="1"/>
      <c r="AU34" s="1">
        <v>4</v>
      </c>
      <c r="AV34" s="1">
        <v>2</v>
      </c>
      <c r="AW34" s="1">
        <v>3</v>
      </c>
      <c r="AX34" s="1">
        <v>2</v>
      </c>
      <c r="AY34" s="1">
        <v>1</v>
      </c>
      <c r="AZ34" s="1"/>
      <c r="BA34" s="1">
        <v>3</v>
      </c>
      <c r="BB34" s="1">
        <v>3</v>
      </c>
      <c r="BC34" s="1">
        <v>3</v>
      </c>
      <c r="BD34" s="1">
        <v>4</v>
      </c>
      <c r="BE34" s="1">
        <v>3</v>
      </c>
      <c r="BF34" s="1"/>
      <c r="BG34" s="1">
        <v>3</v>
      </c>
      <c r="BH34" s="1">
        <v>3</v>
      </c>
      <c r="BI34" s="1">
        <v>2</v>
      </c>
      <c r="BJ34" s="1">
        <v>3</v>
      </c>
      <c r="BK34" s="1">
        <v>3</v>
      </c>
      <c r="BL34" s="1"/>
      <c r="BM34" s="1">
        <v>4</v>
      </c>
      <c r="BN34" s="1">
        <v>3</v>
      </c>
      <c r="BO34" s="1">
        <v>5</v>
      </c>
      <c r="BP34" s="1">
        <v>4</v>
      </c>
      <c r="BQ34" s="1">
        <v>3</v>
      </c>
      <c r="BR34" s="1"/>
      <c r="BS34" s="1">
        <v>3</v>
      </c>
      <c r="BT34" s="1">
        <v>3</v>
      </c>
      <c r="BU34" s="1">
        <v>3</v>
      </c>
      <c r="BV34" s="1">
        <v>3</v>
      </c>
      <c r="BW34" s="1">
        <v>5</v>
      </c>
      <c r="BX34" s="1"/>
      <c r="BY34" s="1">
        <v>3</v>
      </c>
      <c r="BZ34" s="1">
        <v>4</v>
      </c>
      <c r="CA34" s="1">
        <v>3</v>
      </c>
      <c r="CB34" s="1">
        <v>3</v>
      </c>
      <c r="CC34" s="1">
        <v>5</v>
      </c>
      <c r="CD34" s="1"/>
      <c r="CE34" s="1">
        <v>4</v>
      </c>
      <c r="CF34" s="1">
        <v>3</v>
      </c>
      <c r="CG34" s="1">
        <v>3</v>
      </c>
      <c r="CH34" s="1">
        <v>3</v>
      </c>
      <c r="CI34" s="1">
        <v>5</v>
      </c>
      <c r="CJ34" s="1"/>
      <c r="CK34" s="1">
        <v>4</v>
      </c>
      <c r="CL34" s="1">
        <v>4</v>
      </c>
      <c r="CM34" s="1">
        <v>3</v>
      </c>
      <c r="CN34" s="1">
        <v>4</v>
      </c>
      <c r="CO34" s="1">
        <v>5</v>
      </c>
      <c r="CP34" s="1"/>
      <c r="CQ34" s="1">
        <v>4</v>
      </c>
      <c r="CR34" s="1">
        <v>4</v>
      </c>
      <c r="CS34" s="1">
        <v>4</v>
      </c>
      <c r="CT34" s="1">
        <v>4</v>
      </c>
      <c r="CU34" s="1">
        <v>2</v>
      </c>
      <c r="CV34" s="1"/>
      <c r="CW34" s="1">
        <v>5</v>
      </c>
      <c r="CX34" s="1">
        <v>4</v>
      </c>
      <c r="CY34" s="1">
        <v>3</v>
      </c>
      <c r="CZ34" s="1">
        <v>4</v>
      </c>
      <c r="DA34" s="1">
        <v>5</v>
      </c>
      <c r="DB34" s="1"/>
      <c r="DC34" s="1">
        <v>4</v>
      </c>
      <c r="DD34" s="1">
        <v>4</v>
      </c>
      <c r="DE34" s="1">
        <v>4</v>
      </c>
      <c r="DF34" s="1">
        <v>4</v>
      </c>
      <c r="DG34" s="1">
        <v>5</v>
      </c>
      <c r="DH34" s="1"/>
      <c r="DI34" s="1">
        <v>3</v>
      </c>
      <c r="DJ34" s="1">
        <v>3</v>
      </c>
      <c r="DK34" s="1">
        <v>4</v>
      </c>
      <c r="DL34" s="1">
        <v>3</v>
      </c>
      <c r="DM34" s="1">
        <v>5</v>
      </c>
      <c r="DN34" s="1"/>
      <c r="DO34" s="1">
        <v>1</v>
      </c>
      <c r="DP34" s="1">
        <v>3</v>
      </c>
      <c r="DQ34" s="1">
        <v>3</v>
      </c>
      <c r="DR34" s="1">
        <v>3</v>
      </c>
      <c r="DS34" s="1">
        <v>2</v>
      </c>
      <c r="DT34" s="1"/>
      <c r="DU34" s="1">
        <v>4</v>
      </c>
      <c r="DV34" s="1">
        <v>4</v>
      </c>
      <c r="DW34" s="1">
        <v>4</v>
      </c>
      <c r="DX34" s="1">
        <v>4</v>
      </c>
      <c r="DY34" s="1">
        <v>3</v>
      </c>
      <c r="DZ34" s="1"/>
      <c r="EA34" s="1">
        <v>4</v>
      </c>
      <c r="EB34" s="1">
        <v>4</v>
      </c>
      <c r="EC34" s="1">
        <v>4</v>
      </c>
      <c r="ED34" s="1">
        <v>4</v>
      </c>
      <c r="EE34" s="1">
        <v>5</v>
      </c>
      <c r="EF34" s="1"/>
      <c r="EG34" s="1">
        <v>3</v>
      </c>
      <c r="EH34" s="1">
        <v>3</v>
      </c>
      <c r="EI34" s="1">
        <v>4</v>
      </c>
      <c r="EJ34" s="1">
        <v>4</v>
      </c>
      <c r="EK34" s="1">
        <v>4</v>
      </c>
      <c r="EL34" s="1"/>
      <c r="EM34" s="1">
        <v>4</v>
      </c>
      <c r="EN34" s="1">
        <v>3</v>
      </c>
      <c r="EO34" s="1">
        <v>4</v>
      </c>
      <c r="EP34" s="1">
        <v>3</v>
      </c>
      <c r="EQ34" s="1">
        <v>5</v>
      </c>
      <c r="ER34" s="1"/>
      <c r="ES34" s="1">
        <v>3</v>
      </c>
      <c r="ET34" s="1">
        <v>3</v>
      </c>
      <c r="EU34" s="1">
        <v>3</v>
      </c>
      <c r="EV34" s="1">
        <v>3</v>
      </c>
      <c r="EW34" s="1">
        <v>4</v>
      </c>
      <c r="EX34" s="1"/>
      <c r="EY34" s="1">
        <v>5</v>
      </c>
      <c r="EZ34" s="1">
        <v>4</v>
      </c>
      <c r="FA34" s="1">
        <v>5</v>
      </c>
      <c r="FB34" s="1">
        <v>4</v>
      </c>
      <c r="FC34" s="1">
        <v>1</v>
      </c>
      <c r="FD34" s="1"/>
      <c r="FE34" s="1">
        <v>5</v>
      </c>
      <c r="FF34" s="1">
        <v>3</v>
      </c>
      <c r="FG34" s="1">
        <v>5</v>
      </c>
      <c r="FH34" s="1">
        <v>5</v>
      </c>
      <c r="FI34" s="1">
        <v>3</v>
      </c>
      <c r="FJ34" s="1"/>
      <c r="FK34" s="1">
        <v>5</v>
      </c>
      <c r="FL34" s="1">
        <v>4</v>
      </c>
      <c r="FM34" s="1">
        <v>5</v>
      </c>
      <c r="FN34" s="1">
        <v>4</v>
      </c>
      <c r="FO34" s="1">
        <v>5</v>
      </c>
      <c r="FP34" s="1"/>
      <c r="FQ34" s="1">
        <v>4</v>
      </c>
      <c r="FR34" s="1">
        <v>4</v>
      </c>
      <c r="FS34" s="1">
        <v>4</v>
      </c>
      <c r="FT34" s="1">
        <v>4</v>
      </c>
      <c r="FU34" s="1">
        <v>5</v>
      </c>
      <c r="FV34" s="1"/>
      <c r="FW34" s="1">
        <v>2</v>
      </c>
      <c r="FX34" s="1">
        <v>2</v>
      </c>
      <c r="FY34" s="1">
        <v>4</v>
      </c>
      <c r="FZ34" s="1">
        <v>2</v>
      </c>
      <c r="GA34" s="1">
        <v>5</v>
      </c>
      <c r="GB34" s="1"/>
      <c r="GC34" s="1">
        <v>4</v>
      </c>
      <c r="GD34" s="1">
        <v>4</v>
      </c>
      <c r="GE34" s="1">
        <v>4</v>
      </c>
      <c r="GF34" s="1">
        <v>4</v>
      </c>
      <c r="GG34" s="1">
        <v>1</v>
      </c>
      <c r="GH34" s="1"/>
      <c r="GI34" s="1">
        <v>3</v>
      </c>
      <c r="GJ34" s="1">
        <v>3</v>
      </c>
      <c r="GK34" s="1">
        <v>4</v>
      </c>
      <c r="GL34" s="1">
        <v>3</v>
      </c>
      <c r="GM34" s="1">
        <v>5</v>
      </c>
      <c r="GN34" s="1"/>
      <c r="GO34" s="1">
        <v>3</v>
      </c>
      <c r="GP34" s="1">
        <v>3</v>
      </c>
      <c r="GQ34" s="1">
        <v>3</v>
      </c>
      <c r="GR34" s="1">
        <v>4</v>
      </c>
      <c r="GS34" s="1">
        <v>3</v>
      </c>
      <c r="GT34" s="1"/>
      <c r="GU34" s="1">
        <v>3</v>
      </c>
      <c r="GV34" s="1">
        <v>4</v>
      </c>
      <c r="GW34" s="1">
        <v>4</v>
      </c>
      <c r="GX34" s="1">
        <v>4</v>
      </c>
      <c r="GY34" s="1">
        <v>4</v>
      </c>
      <c r="GZ34" s="1"/>
      <c r="HA34" s="1">
        <v>4</v>
      </c>
      <c r="HB34" s="1">
        <v>4</v>
      </c>
      <c r="HC34" s="1">
        <v>4</v>
      </c>
      <c r="HD34" s="1">
        <v>4</v>
      </c>
      <c r="HE34" s="1">
        <v>5</v>
      </c>
    </row>
    <row r="35" spans="1:213" x14ac:dyDescent="0.25">
      <c r="A35" t="s">
        <v>205</v>
      </c>
      <c r="B35" t="s">
        <v>201</v>
      </c>
      <c r="C35">
        <v>65193</v>
      </c>
      <c r="E35" s="1">
        <v>3</v>
      </c>
      <c r="F35" s="1">
        <v>4</v>
      </c>
      <c r="G35" s="1">
        <v>2</v>
      </c>
      <c r="H35" s="1">
        <v>3</v>
      </c>
      <c r="I35" s="1">
        <v>3</v>
      </c>
      <c r="J35" s="1"/>
      <c r="K35" s="1">
        <v>4</v>
      </c>
      <c r="L35" s="1">
        <v>4</v>
      </c>
      <c r="M35" s="1">
        <v>4</v>
      </c>
      <c r="N35" s="1">
        <v>5</v>
      </c>
      <c r="O35" s="1">
        <v>2</v>
      </c>
      <c r="P35" s="1"/>
      <c r="Q35" s="1">
        <v>3</v>
      </c>
      <c r="R35" s="1">
        <v>4</v>
      </c>
      <c r="S35" s="1">
        <v>2</v>
      </c>
      <c r="T35" s="1">
        <v>5</v>
      </c>
      <c r="U35" s="1">
        <v>3</v>
      </c>
      <c r="V35" s="1"/>
      <c r="W35" s="1">
        <v>4</v>
      </c>
      <c r="X35" s="1">
        <v>2</v>
      </c>
      <c r="Y35" s="1">
        <v>4</v>
      </c>
      <c r="Z35" s="1">
        <v>4</v>
      </c>
      <c r="AA35" s="1">
        <v>5</v>
      </c>
      <c r="AB35" s="1"/>
      <c r="AC35" s="1">
        <v>3</v>
      </c>
      <c r="AD35" s="1">
        <v>3</v>
      </c>
      <c r="AE35" s="1">
        <v>4</v>
      </c>
      <c r="AF35" s="1">
        <v>3</v>
      </c>
      <c r="AG35" s="1">
        <v>5</v>
      </c>
      <c r="AH35" s="1"/>
      <c r="AI35" s="1">
        <v>1</v>
      </c>
      <c r="AJ35" s="1">
        <v>1</v>
      </c>
      <c r="AK35" s="1">
        <v>3</v>
      </c>
      <c r="AL35" s="1">
        <v>4</v>
      </c>
      <c r="AM35" s="1">
        <v>3</v>
      </c>
      <c r="AN35" s="1"/>
      <c r="AO35" s="1">
        <v>2</v>
      </c>
      <c r="AP35" s="1">
        <v>2</v>
      </c>
      <c r="AQ35" s="1">
        <v>3</v>
      </c>
      <c r="AR35" s="1">
        <v>5</v>
      </c>
      <c r="AS35" s="1">
        <v>3</v>
      </c>
      <c r="AT35" s="1"/>
      <c r="AU35" s="1">
        <v>1</v>
      </c>
      <c r="AV35" s="1">
        <v>3</v>
      </c>
      <c r="AW35" s="1">
        <v>4</v>
      </c>
      <c r="AX35" s="1">
        <v>2</v>
      </c>
      <c r="AY35" s="1">
        <v>1</v>
      </c>
      <c r="AZ35" s="1"/>
      <c r="BA35" s="1">
        <v>4</v>
      </c>
      <c r="BB35" s="1">
        <v>3</v>
      </c>
      <c r="BC35" s="1">
        <v>4</v>
      </c>
      <c r="BD35" s="1">
        <v>4</v>
      </c>
      <c r="BE35" s="1">
        <v>4</v>
      </c>
      <c r="BF35" s="1"/>
      <c r="BG35" s="1">
        <v>2</v>
      </c>
      <c r="BH35" s="1">
        <v>3</v>
      </c>
      <c r="BI35" s="1">
        <v>3</v>
      </c>
      <c r="BJ35" s="1">
        <v>1</v>
      </c>
      <c r="BK35" s="1">
        <v>4</v>
      </c>
      <c r="BL35" s="1"/>
      <c r="BM35" s="1">
        <v>3</v>
      </c>
      <c r="BN35" s="1">
        <v>1</v>
      </c>
      <c r="BO35" s="1">
        <v>3</v>
      </c>
      <c r="BP35" s="1">
        <v>1</v>
      </c>
      <c r="BQ35" s="1">
        <v>2</v>
      </c>
      <c r="BR35" s="1"/>
      <c r="BS35" s="1">
        <v>4</v>
      </c>
      <c r="BT35" s="1">
        <v>2</v>
      </c>
      <c r="BU35" s="1">
        <v>3</v>
      </c>
      <c r="BV35" s="1">
        <v>3</v>
      </c>
      <c r="BW35" s="1">
        <v>2</v>
      </c>
      <c r="BX35" s="1"/>
      <c r="BY35" s="1">
        <v>2</v>
      </c>
      <c r="BZ35" s="1">
        <v>3</v>
      </c>
      <c r="CA35" s="1">
        <v>5</v>
      </c>
      <c r="CB35" s="1">
        <v>3</v>
      </c>
      <c r="CC35" s="1">
        <v>1</v>
      </c>
      <c r="CD35" s="1"/>
      <c r="CE35" s="1">
        <v>3</v>
      </c>
      <c r="CF35" s="1">
        <v>5</v>
      </c>
      <c r="CG35" s="1">
        <v>2</v>
      </c>
      <c r="CH35" s="1">
        <v>2</v>
      </c>
      <c r="CI35" s="1">
        <v>4</v>
      </c>
      <c r="CJ35" s="1"/>
      <c r="CK35" s="1">
        <v>2</v>
      </c>
      <c r="CL35" s="1">
        <v>3</v>
      </c>
      <c r="CM35" s="1">
        <v>2</v>
      </c>
      <c r="CN35" s="1">
        <v>2</v>
      </c>
      <c r="CO35" s="1">
        <v>4</v>
      </c>
      <c r="CP35" s="1"/>
      <c r="CQ35" s="1">
        <v>2</v>
      </c>
      <c r="CR35" s="1">
        <v>3</v>
      </c>
      <c r="CS35" s="1">
        <v>2</v>
      </c>
      <c r="CT35" s="1">
        <v>2</v>
      </c>
      <c r="CU35" s="1">
        <v>1</v>
      </c>
      <c r="CV35" s="1"/>
      <c r="CW35" s="1">
        <v>3</v>
      </c>
      <c r="CX35" s="1">
        <v>3</v>
      </c>
      <c r="CY35" s="1">
        <v>3</v>
      </c>
      <c r="CZ35" s="1">
        <v>3</v>
      </c>
      <c r="DA35" s="1">
        <v>2</v>
      </c>
      <c r="DB35" s="1"/>
      <c r="DC35" s="1">
        <v>3</v>
      </c>
      <c r="DD35" s="1">
        <v>2</v>
      </c>
      <c r="DE35" s="1">
        <v>4</v>
      </c>
      <c r="DF35" s="1">
        <v>1</v>
      </c>
      <c r="DG35" s="1">
        <v>1</v>
      </c>
      <c r="DH35" s="1"/>
      <c r="DI35" s="1">
        <v>3</v>
      </c>
      <c r="DJ35" s="1">
        <v>2</v>
      </c>
      <c r="DK35" s="1">
        <v>3</v>
      </c>
      <c r="DL35" s="1">
        <v>1</v>
      </c>
      <c r="DM35" s="1">
        <v>3</v>
      </c>
      <c r="DN35" s="1"/>
      <c r="DO35" s="1">
        <v>2</v>
      </c>
      <c r="DP35" s="1">
        <v>1</v>
      </c>
      <c r="DQ35" s="1">
        <v>3</v>
      </c>
      <c r="DR35" s="1">
        <v>2</v>
      </c>
      <c r="DS35" s="1">
        <v>2</v>
      </c>
      <c r="DT35" s="1"/>
      <c r="DU35" s="1">
        <v>2</v>
      </c>
      <c r="DV35" s="1">
        <v>2</v>
      </c>
      <c r="DW35" s="1">
        <v>2</v>
      </c>
      <c r="DX35" s="1">
        <v>3</v>
      </c>
      <c r="DY35" s="1">
        <v>3</v>
      </c>
      <c r="DZ35" s="1"/>
      <c r="EA35" s="1">
        <v>4</v>
      </c>
      <c r="EB35" s="1">
        <v>3</v>
      </c>
      <c r="EC35" s="1">
        <v>5</v>
      </c>
      <c r="ED35" s="1">
        <v>2</v>
      </c>
      <c r="EE35" s="1">
        <v>5</v>
      </c>
      <c r="EF35" s="1"/>
      <c r="EG35" s="1">
        <v>3</v>
      </c>
      <c r="EH35" s="1">
        <v>1</v>
      </c>
      <c r="EI35" s="1">
        <v>3</v>
      </c>
      <c r="EJ35" s="1">
        <v>5</v>
      </c>
      <c r="EK35" s="1">
        <v>2</v>
      </c>
      <c r="EL35" s="1"/>
      <c r="EM35" s="1">
        <v>2</v>
      </c>
      <c r="EN35" s="1">
        <v>3</v>
      </c>
      <c r="EO35" s="1">
        <v>3</v>
      </c>
      <c r="EP35" s="1">
        <v>1</v>
      </c>
      <c r="EQ35" s="1">
        <v>2</v>
      </c>
      <c r="ER35" s="1"/>
      <c r="ES35" s="1">
        <v>4</v>
      </c>
      <c r="ET35" s="1">
        <v>3</v>
      </c>
      <c r="EU35" s="1">
        <v>4</v>
      </c>
      <c r="EV35" s="1">
        <v>4</v>
      </c>
      <c r="EW35" s="1">
        <v>3</v>
      </c>
      <c r="EX35" s="1"/>
      <c r="EY35" s="1">
        <v>3</v>
      </c>
      <c r="EZ35" s="1">
        <v>2</v>
      </c>
      <c r="FA35" s="1">
        <v>3</v>
      </c>
      <c r="FB35" s="1">
        <v>5</v>
      </c>
      <c r="FC35" s="1">
        <v>3</v>
      </c>
      <c r="FD35" s="1"/>
      <c r="FE35" s="1">
        <v>3</v>
      </c>
      <c r="FF35" s="1">
        <v>4</v>
      </c>
      <c r="FG35" s="1">
        <v>3</v>
      </c>
      <c r="FH35" s="1">
        <v>3</v>
      </c>
      <c r="FI35" s="1">
        <v>1</v>
      </c>
      <c r="FJ35" s="1"/>
      <c r="FK35" s="1">
        <v>3</v>
      </c>
      <c r="FL35" s="1">
        <v>1</v>
      </c>
      <c r="FM35" s="1">
        <v>4</v>
      </c>
      <c r="FN35" s="1">
        <v>3</v>
      </c>
      <c r="FO35" s="1">
        <v>3</v>
      </c>
      <c r="FP35" s="1"/>
      <c r="FQ35" s="1">
        <v>2</v>
      </c>
      <c r="FR35" s="1">
        <v>3</v>
      </c>
      <c r="FS35" s="1">
        <v>3</v>
      </c>
      <c r="FT35" s="1">
        <v>1</v>
      </c>
      <c r="FU35" s="1">
        <v>4</v>
      </c>
      <c r="FV35" s="1"/>
      <c r="FW35" s="1">
        <v>2</v>
      </c>
      <c r="FX35" s="1">
        <v>3</v>
      </c>
      <c r="FY35" s="1">
        <v>3</v>
      </c>
      <c r="FZ35" s="1">
        <v>1</v>
      </c>
      <c r="GA35" s="1">
        <v>2</v>
      </c>
      <c r="GB35" s="1"/>
      <c r="GC35" s="1">
        <v>3</v>
      </c>
      <c r="GD35" s="1">
        <v>3</v>
      </c>
      <c r="GE35" s="1">
        <v>2</v>
      </c>
      <c r="GF35" s="1">
        <v>2</v>
      </c>
      <c r="GG35" s="1">
        <v>1</v>
      </c>
      <c r="GH35" s="1"/>
      <c r="GI35" s="1">
        <v>4</v>
      </c>
      <c r="GJ35" s="1">
        <v>3</v>
      </c>
      <c r="GK35" s="1">
        <v>3</v>
      </c>
      <c r="GL35" s="1">
        <v>4</v>
      </c>
      <c r="GM35" s="1">
        <v>4</v>
      </c>
      <c r="GN35" s="1"/>
      <c r="GO35" s="1">
        <v>2</v>
      </c>
      <c r="GP35" s="1">
        <v>1</v>
      </c>
      <c r="GQ35" s="1">
        <v>2</v>
      </c>
      <c r="GR35" s="1">
        <v>4</v>
      </c>
      <c r="GS35" s="1">
        <v>2</v>
      </c>
      <c r="GT35" s="1"/>
      <c r="GU35" s="1">
        <v>2</v>
      </c>
      <c r="GV35" s="1">
        <v>1</v>
      </c>
      <c r="GW35" s="1">
        <v>5</v>
      </c>
      <c r="GX35" s="1">
        <v>2</v>
      </c>
      <c r="GY35" s="1">
        <v>3</v>
      </c>
      <c r="GZ35" s="1"/>
      <c r="HA35" s="1">
        <v>5</v>
      </c>
      <c r="HB35" s="1">
        <v>4</v>
      </c>
      <c r="HC35" s="1">
        <v>4</v>
      </c>
      <c r="HD35" s="1">
        <v>4</v>
      </c>
      <c r="HE35" s="1">
        <v>5</v>
      </c>
    </row>
    <row r="36" spans="1:213" x14ac:dyDescent="0.25">
      <c r="A36" t="s">
        <v>184</v>
      </c>
      <c r="E36" s="1">
        <f t="shared" ref="E36:I36" si="245">AVERAGE(E31:E35)</f>
        <v>2</v>
      </c>
      <c r="F36" s="1">
        <f t="shared" si="245"/>
        <v>2.2000000000000002</v>
      </c>
      <c r="G36" s="1">
        <f t="shared" si="245"/>
        <v>1.8</v>
      </c>
      <c r="H36" s="1">
        <f t="shared" si="245"/>
        <v>2.2000000000000002</v>
      </c>
      <c r="I36" s="1">
        <f t="shared" si="245"/>
        <v>2</v>
      </c>
      <c r="J36" s="1"/>
      <c r="K36" s="1">
        <f t="shared" ref="K36:O36" si="246">AVERAGE(K31:K35)</f>
        <v>3.4</v>
      </c>
      <c r="L36" s="1">
        <f t="shared" si="246"/>
        <v>3.2</v>
      </c>
      <c r="M36" s="1">
        <f t="shared" si="246"/>
        <v>3</v>
      </c>
      <c r="N36" s="1">
        <f t="shared" si="246"/>
        <v>4</v>
      </c>
      <c r="O36" s="1">
        <f t="shared" si="246"/>
        <v>2</v>
      </c>
      <c r="P36" s="1"/>
      <c r="Q36" s="1">
        <f t="shared" ref="Q36:U36" si="247">AVERAGE(Q31:Q35)</f>
        <v>2.6</v>
      </c>
      <c r="R36" s="1">
        <f t="shared" si="247"/>
        <v>2.6</v>
      </c>
      <c r="S36" s="1">
        <f t="shared" si="247"/>
        <v>2.2000000000000002</v>
      </c>
      <c r="T36" s="1">
        <f t="shared" si="247"/>
        <v>2.2000000000000002</v>
      </c>
      <c r="U36" s="1">
        <f t="shared" si="247"/>
        <v>3.6</v>
      </c>
      <c r="V36" s="1"/>
      <c r="W36" s="1">
        <f t="shared" ref="W36:AA36" si="248">AVERAGE(W31:W35)</f>
        <v>3.4</v>
      </c>
      <c r="X36" s="1">
        <f t="shared" si="248"/>
        <v>2.8</v>
      </c>
      <c r="Y36" s="1">
        <f t="shared" si="248"/>
        <v>2.8</v>
      </c>
      <c r="Z36" s="1">
        <f t="shared" si="248"/>
        <v>3</v>
      </c>
      <c r="AA36" s="1">
        <f t="shared" si="248"/>
        <v>3.4</v>
      </c>
      <c r="AB36" s="1"/>
      <c r="AC36" s="1">
        <f t="shared" ref="AC36:AG36" si="249">AVERAGE(AC31:AC35)</f>
        <v>2.4</v>
      </c>
      <c r="AD36" s="1">
        <f t="shared" si="249"/>
        <v>2.2000000000000002</v>
      </c>
      <c r="AE36" s="1">
        <f t="shared" si="249"/>
        <v>2.4</v>
      </c>
      <c r="AF36" s="1">
        <f t="shared" si="249"/>
        <v>2.4</v>
      </c>
      <c r="AG36" s="1">
        <f t="shared" si="249"/>
        <v>4</v>
      </c>
      <c r="AH36" s="1"/>
      <c r="AI36" s="1">
        <f t="shared" ref="AI36:AM36" si="250">AVERAGE(AI31:AI35)</f>
        <v>2</v>
      </c>
      <c r="AJ36" s="1">
        <f t="shared" si="250"/>
        <v>1.6</v>
      </c>
      <c r="AK36" s="1">
        <f t="shared" si="250"/>
        <v>2.6</v>
      </c>
      <c r="AL36" s="1">
        <f t="shared" si="250"/>
        <v>3.8</v>
      </c>
      <c r="AM36" s="1">
        <f t="shared" si="250"/>
        <v>3.2</v>
      </c>
      <c r="AN36" s="1"/>
      <c r="AO36" s="1">
        <f t="shared" ref="AO36:AS36" si="251">AVERAGE(AO31:AO35)</f>
        <v>2.4</v>
      </c>
      <c r="AP36" s="1">
        <f t="shared" si="251"/>
        <v>3.2</v>
      </c>
      <c r="AQ36" s="1">
        <f t="shared" si="251"/>
        <v>2.6</v>
      </c>
      <c r="AR36" s="1">
        <f t="shared" si="251"/>
        <v>3.8</v>
      </c>
      <c r="AS36" s="1">
        <f t="shared" si="251"/>
        <v>3</v>
      </c>
      <c r="AT36" s="1"/>
      <c r="AU36" s="1">
        <f t="shared" ref="AU36:AY36" si="252">AVERAGE(AU31:AU35)</f>
        <v>2.2000000000000002</v>
      </c>
      <c r="AV36" s="1">
        <f t="shared" si="252"/>
        <v>1.8</v>
      </c>
      <c r="AW36" s="1">
        <f t="shared" si="252"/>
        <v>2.8</v>
      </c>
      <c r="AX36" s="1">
        <f t="shared" si="252"/>
        <v>1.6</v>
      </c>
      <c r="AY36" s="1">
        <f t="shared" si="252"/>
        <v>1.2</v>
      </c>
      <c r="AZ36" s="1"/>
      <c r="BA36" s="1">
        <f t="shared" ref="BA36:BE36" si="253">AVERAGE(BA31:BA35)</f>
        <v>2.6</v>
      </c>
      <c r="BB36" s="1">
        <f t="shared" si="253"/>
        <v>2.2000000000000002</v>
      </c>
      <c r="BC36" s="1">
        <f t="shared" si="253"/>
        <v>3.4</v>
      </c>
      <c r="BD36" s="1">
        <f t="shared" si="253"/>
        <v>3.4</v>
      </c>
      <c r="BE36" s="1">
        <f t="shared" si="253"/>
        <v>3</v>
      </c>
      <c r="BF36" s="1"/>
      <c r="BG36" s="1">
        <f t="shared" ref="BG36:BK36" si="254">AVERAGE(BG31:BG35)</f>
        <v>1.6</v>
      </c>
      <c r="BH36" s="1">
        <f t="shared" si="254"/>
        <v>2</v>
      </c>
      <c r="BI36" s="1">
        <f t="shared" si="254"/>
        <v>1.8</v>
      </c>
      <c r="BJ36" s="1">
        <f t="shared" si="254"/>
        <v>1.6</v>
      </c>
      <c r="BK36" s="1">
        <f t="shared" si="254"/>
        <v>3.2</v>
      </c>
      <c r="BL36" s="1"/>
      <c r="BM36" s="1">
        <f t="shared" ref="BM36:BQ36" si="255">AVERAGE(BM31:BM35)</f>
        <v>2.6</v>
      </c>
      <c r="BN36" s="1">
        <f t="shared" si="255"/>
        <v>1.6</v>
      </c>
      <c r="BO36" s="1">
        <f t="shared" si="255"/>
        <v>4</v>
      </c>
      <c r="BP36" s="1">
        <f t="shared" si="255"/>
        <v>2</v>
      </c>
      <c r="BQ36" s="1">
        <f t="shared" si="255"/>
        <v>2</v>
      </c>
      <c r="BR36" s="1"/>
      <c r="BS36" s="1">
        <f t="shared" ref="BS36:BW36" si="256">AVERAGE(BS31:BS35)</f>
        <v>2.2000000000000002</v>
      </c>
      <c r="BT36" s="1">
        <f t="shared" si="256"/>
        <v>2.2000000000000002</v>
      </c>
      <c r="BU36" s="1">
        <f t="shared" si="256"/>
        <v>2.2000000000000002</v>
      </c>
      <c r="BV36" s="1">
        <f t="shared" si="256"/>
        <v>2.2000000000000002</v>
      </c>
      <c r="BW36" s="1">
        <f t="shared" si="256"/>
        <v>2.4</v>
      </c>
      <c r="BX36" s="1"/>
      <c r="BY36" s="1">
        <f t="shared" ref="BY36:CC36" si="257">AVERAGE(BY31:BY35)</f>
        <v>2.4</v>
      </c>
      <c r="BZ36" s="1">
        <f t="shared" si="257"/>
        <v>3.2</v>
      </c>
      <c r="CA36" s="1">
        <f t="shared" si="257"/>
        <v>3.2</v>
      </c>
      <c r="CB36" s="1">
        <f t="shared" si="257"/>
        <v>2.6</v>
      </c>
      <c r="CC36" s="1">
        <f t="shared" si="257"/>
        <v>2.6</v>
      </c>
      <c r="CD36" s="1"/>
      <c r="CE36" s="1">
        <f t="shared" ref="CE36:CI36" si="258">AVERAGE(CE31:CE35)</f>
        <v>2.6</v>
      </c>
      <c r="CF36" s="1">
        <f t="shared" si="258"/>
        <v>2.6</v>
      </c>
      <c r="CG36" s="1">
        <f t="shared" si="258"/>
        <v>2</v>
      </c>
      <c r="CH36" s="1">
        <f t="shared" si="258"/>
        <v>1.8</v>
      </c>
      <c r="CI36" s="1">
        <f t="shared" si="258"/>
        <v>3.8</v>
      </c>
      <c r="CJ36" s="1"/>
      <c r="CK36" s="1">
        <f t="shared" ref="CK36:CO36" si="259">AVERAGE(CK31:CK35)</f>
        <v>2.2000000000000002</v>
      </c>
      <c r="CL36" s="1">
        <f t="shared" si="259"/>
        <v>2.6</v>
      </c>
      <c r="CM36" s="1">
        <f t="shared" si="259"/>
        <v>2.4</v>
      </c>
      <c r="CN36" s="1">
        <f t="shared" si="259"/>
        <v>2.4</v>
      </c>
      <c r="CO36" s="1">
        <f t="shared" si="259"/>
        <v>3.6</v>
      </c>
      <c r="CP36" s="1"/>
      <c r="CQ36" s="1">
        <f t="shared" ref="CQ36:CU36" si="260">AVERAGE(CQ31:CQ35)</f>
        <v>3</v>
      </c>
      <c r="CR36" s="1">
        <f t="shared" si="260"/>
        <v>2.6</v>
      </c>
      <c r="CS36" s="1">
        <f t="shared" si="260"/>
        <v>2.4</v>
      </c>
      <c r="CT36" s="1">
        <f t="shared" si="260"/>
        <v>3</v>
      </c>
      <c r="CU36" s="1">
        <f t="shared" si="260"/>
        <v>1.4</v>
      </c>
      <c r="CV36" s="1"/>
      <c r="CW36" s="1">
        <f t="shared" ref="CW36:DA36" si="261">AVERAGE(CW31:CW35)</f>
        <v>2.6</v>
      </c>
      <c r="CX36" s="1">
        <f t="shared" si="261"/>
        <v>2.4</v>
      </c>
      <c r="CY36" s="1">
        <f t="shared" si="261"/>
        <v>2.2000000000000002</v>
      </c>
      <c r="CZ36" s="1">
        <f t="shared" si="261"/>
        <v>3</v>
      </c>
      <c r="DA36" s="1">
        <f t="shared" si="261"/>
        <v>3.2</v>
      </c>
      <c r="DB36" s="1"/>
      <c r="DC36" s="1">
        <f t="shared" ref="DC36:DG36" si="262">AVERAGE(DC31:DC35)</f>
        <v>3.2</v>
      </c>
      <c r="DD36" s="1">
        <f t="shared" si="262"/>
        <v>2.6</v>
      </c>
      <c r="DE36" s="1">
        <f t="shared" si="262"/>
        <v>3.2</v>
      </c>
      <c r="DF36" s="1">
        <f t="shared" si="262"/>
        <v>1.8</v>
      </c>
      <c r="DG36" s="1">
        <f t="shared" si="262"/>
        <v>2</v>
      </c>
      <c r="DH36" s="1"/>
      <c r="DI36" s="1">
        <f t="shared" ref="DI36:DM36" si="263">AVERAGE(DI31:DI35)</f>
        <v>2</v>
      </c>
      <c r="DJ36" s="1">
        <f t="shared" si="263"/>
        <v>1.8</v>
      </c>
      <c r="DK36" s="1">
        <f t="shared" si="263"/>
        <v>3</v>
      </c>
      <c r="DL36" s="1">
        <f t="shared" si="263"/>
        <v>1.8</v>
      </c>
      <c r="DM36" s="1">
        <f t="shared" si="263"/>
        <v>3.8</v>
      </c>
      <c r="DN36" s="1"/>
      <c r="DO36" s="1">
        <f t="shared" ref="DO36:DS36" si="264">AVERAGE(DO31:DO35)</f>
        <v>1.6</v>
      </c>
      <c r="DP36" s="1">
        <f t="shared" si="264"/>
        <v>2.2000000000000002</v>
      </c>
      <c r="DQ36" s="1">
        <f t="shared" si="264"/>
        <v>2.4</v>
      </c>
      <c r="DR36" s="1">
        <f t="shared" si="264"/>
        <v>2</v>
      </c>
      <c r="DS36" s="1">
        <f t="shared" si="264"/>
        <v>2</v>
      </c>
      <c r="DT36" s="1"/>
      <c r="DU36" s="1">
        <f t="shared" ref="DU36:DY36" si="265">AVERAGE(DU31:DU35)</f>
        <v>2.2000000000000002</v>
      </c>
      <c r="DV36" s="1">
        <f t="shared" si="265"/>
        <v>2.6</v>
      </c>
      <c r="DW36" s="1">
        <f t="shared" si="265"/>
        <v>2.8</v>
      </c>
      <c r="DX36" s="1">
        <f t="shared" si="265"/>
        <v>3</v>
      </c>
      <c r="DY36" s="1">
        <f t="shared" si="265"/>
        <v>2.2000000000000002</v>
      </c>
      <c r="DZ36" s="1"/>
      <c r="EA36" s="1">
        <f t="shared" ref="EA36:EE36" si="266">AVERAGE(EA31:EA35)</f>
        <v>3</v>
      </c>
      <c r="EB36" s="1">
        <f t="shared" si="266"/>
        <v>2.2000000000000002</v>
      </c>
      <c r="EC36" s="1">
        <f t="shared" si="266"/>
        <v>3</v>
      </c>
      <c r="ED36" s="1">
        <f t="shared" si="266"/>
        <v>2</v>
      </c>
      <c r="EE36" s="1">
        <f t="shared" si="266"/>
        <v>3.2</v>
      </c>
      <c r="EF36" s="1"/>
      <c r="EG36" s="1">
        <f t="shared" ref="EG36:EK36" si="267">AVERAGE(EG31:EG35)</f>
        <v>2.2000000000000002</v>
      </c>
      <c r="EH36" s="1">
        <f t="shared" si="267"/>
        <v>2</v>
      </c>
      <c r="EI36" s="1">
        <f t="shared" si="267"/>
        <v>3.2</v>
      </c>
      <c r="EJ36" s="1">
        <f t="shared" si="267"/>
        <v>3</v>
      </c>
      <c r="EK36" s="1">
        <f t="shared" si="267"/>
        <v>2.4</v>
      </c>
      <c r="EL36" s="1"/>
      <c r="EM36" s="1">
        <f t="shared" ref="EM36:EQ36" si="268">AVERAGE(EM31:EM35)</f>
        <v>2.4</v>
      </c>
      <c r="EN36" s="1">
        <f t="shared" si="268"/>
        <v>2.6</v>
      </c>
      <c r="EO36" s="1">
        <f t="shared" si="268"/>
        <v>3.2</v>
      </c>
      <c r="EP36" s="1">
        <f t="shared" si="268"/>
        <v>1.6</v>
      </c>
      <c r="EQ36" s="1">
        <f t="shared" si="268"/>
        <v>2.2000000000000002</v>
      </c>
      <c r="ER36" s="1"/>
      <c r="ES36" s="1">
        <f t="shared" ref="ES36:EW36" si="269">AVERAGE(ES31:ES35)</f>
        <v>2.4</v>
      </c>
      <c r="ET36" s="1">
        <f t="shared" si="269"/>
        <v>2.6</v>
      </c>
      <c r="EU36" s="1">
        <f t="shared" si="269"/>
        <v>3.6</v>
      </c>
      <c r="EV36" s="1">
        <f t="shared" si="269"/>
        <v>3.4</v>
      </c>
      <c r="EW36" s="1">
        <f t="shared" si="269"/>
        <v>3.8</v>
      </c>
      <c r="EX36" s="1"/>
      <c r="EY36" s="1">
        <f t="shared" ref="EY36:FC36" si="270">AVERAGE(EY31:EY35)</f>
        <v>3.2</v>
      </c>
      <c r="EZ36" s="1">
        <f t="shared" si="270"/>
        <v>2.2000000000000002</v>
      </c>
      <c r="FA36" s="1">
        <f t="shared" si="270"/>
        <v>2.8</v>
      </c>
      <c r="FB36" s="1">
        <f t="shared" si="270"/>
        <v>2.6</v>
      </c>
      <c r="FC36" s="1">
        <f t="shared" si="270"/>
        <v>2.2000000000000002</v>
      </c>
      <c r="FD36" s="1"/>
      <c r="FE36" s="1">
        <f t="shared" ref="FE36:FI36" si="271">AVERAGE(FE31:FE35)</f>
        <v>2.8</v>
      </c>
      <c r="FF36" s="1">
        <f t="shared" si="271"/>
        <v>2.4</v>
      </c>
      <c r="FG36" s="1">
        <f t="shared" si="271"/>
        <v>2.6</v>
      </c>
      <c r="FH36" s="1">
        <f t="shared" si="271"/>
        <v>3</v>
      </c>
      <c r="FI36" s="1">
        <f t="shared" si="271"/>
        <v>2.2000000000000002</v>
      </c>
      <c r="FJ36" s="1"/>
      <c r="FK36" s="1">
        <f t="shared" ref="FK36:FO36" si="272">AVERAGE(FK31:FK35)</f>
        <v>3</v>
      </c>
      <c r="FL36" s="1">
        <f t="shared" si="272"/>
        <v>2.2000000000000002</v>
      </c>
      <c r="FM36" s="1">
        <f t="shared" si="272"/>
        <v>3</v>
      </c>
      <c r="FN36" s="1">
        <f t="shared" si="272"/>
        <v>3</v>
      </c>
      <c r="FO36" s="1">
        <f t="shared" si="272"/>
        <v>3.8</v>
      </c>
      <c r="FP36" s="1"/>
      <c r="FQ36" s="1">
        <f t="shared" ref="FQ36:FU36" si="273">AVERAGE(FQ31:FQ35)</f>
        <v>2.4</v>
      </c>
      <c r="FR36" s="1">
        <f t="shared" si="273"/>
        <v>3</v>
      </c>
      <c r="FS36" s="1">
        <f t="shared" si="273"/>
        <v>2.8</v>
      </c>
      <c r="FT36" s="1">
        <f t="shared" si="273"/>
        <v>2.8</v>
      </c>
      <c r="FU36" s="1">
        <f t="shared" si="273"/>
        <v>3</v>
      </c>
      <c r="FV36" s="1"/>
      <c r="FW36" s="1">
        <f t="shared" ref="FW36:GA36" si="274">AVERAGE(FW31:FW35)</f>
        <v>1.6</v>
      </c>
      <c r="FX36" s="1">
        <f t="shared" si="274"/>
        <v>2</v>
      </c>
      <c r="FY36" s="1">
        <f t="shared" si="274"/>
        <v>3.4</v>
      </c>
      <c r="FZ36" s="1">
        <f t="shared" si="274"/>
        <v>1.4</v>
      </c>
      <c r="GA36" s="1">
        <f t="shared" si="274"/>
        <v>3.6</v>
      </c>
      <c r="GB36" s="1"/>
      <c r="GC36" s="1">
        <f t="shared" ref="GC36:GG36" si="275">AVERAGE(GC31:GC35)</f>
        <v>3.2</v>
      </c>
      <c r="GD36" s="1">
        <f t="shared" si="275"/>
        <v>2.4</v>
      </c>
      <c r="GE36" s="1">
        <f t="shared" si="275"/>
        <v>2.6</v>
      </c>
      <c r="GF36" s="1">
        <f t="shared" si="275"/>
        <v>2.4</v>
      </c>
      <c r="GG36" s="1">
        <f t="shared" si="275"/>
        <v>1.6</v>
      </c>
      <c r="GH36" s="1"/>
      <c r="GI36" s="1">
        <f t="shared" ref="GI36:GM36" si="276">AVERAGE(GI31:GI35)</f>
        <v>3.4</v>
      </c>
      <c r="GJ36" s="1">
        <f t="shared" si="276"/>
        <v>2.8</v>
      </c>
      <c r="GK36" s="1">
        <f t="shared" si="276"/>
        <v>3.4</v>
      </c>
      <c r="GL36" s="1">
        <f t="shared" si="276"/>
        <v>2.6</v>
      </c>
      <c r="GM36" s="1">
        <f t="shared" si="276"/>
        <v>3</v>
      </c>
      <c r="GN36" s="1"/>
      <c r="GO36" s="1">
        <f t="shared" ref="GO36:GS36" si="277">AVERAGE(GO31:GO35)</f>
        <v>2.4</v>
      </c>
      <c r="GP36" s="1">
        <f t="shared" si="277"/>
        <v>2.2000000000000002</v>
      </c>
      <c r="GQ36" s="1">
        <f t="shared" si="277"/>
        <v>2.8</v>
      </c>
      <c r="GR36" s="1">
        <f t="shared" si="277"/>
        <v>3.4</v>
      </c>
      <c r="GS36" s="1">
        <f t="shared" si="277"/>
        <v>2.2000000000000002</v>
      </c>
      <c r="GT36" s="1"/>
      <c r="GU36" s="1">
        <f t="shared" ref="GU36:GY36" si="278">AVERAGE(GU31:GU35)</f>
        <v>2.4</v>
      </c>
      <c r="GV36" s="1">
        <f t="shared" si="278"/>
        <v>2</v>
      </c>
      <c r="GW36" s="1">
        <f t="shared" si="278"/>
        <v>3</v>
      </c>
      <c r="GX36" s="1">
        <f t="shared" si="278"/>
        <v>2.4</v>
      </c>
      <c r="GY36" s="1">
        <f t="shared" si="278"/>
        <v>2.4</v>
      </c>
      <c r="GZ36" s="1"/>
      <c r="HA36" s="1">
        <f t="shared" ref="HA36:HE36" si="279">AVERAGE(HA31:HA35)</f>
        <v>2.8</v>
      </c>
      <c r="HB36" s="1">
        <f t="shared" si="279"/>
        <v>2.8</v>
      </c>
      <c r="HC36" s="1">
        <f t="shared" si="279"/>
        <v>2.4</v>
      </c>
      <c r="HD36" s="1">
        <f t="shared" si="279"/>
        <v>3.4</v>
      </c>
      <c r="HE36" s="1">
        <f t="shared" si="279"/>
        <v>3.2</v>
      </c>
    </row>
    <row r="37" spans="1:213" x14ac:dyDescent="0.25"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</row>
    <row r="38" spans="1:213" x14ac:dyDescent="0.25">
      <c r="A38" t="s">
        <v>206</v>
      </c>
      <c r="E38" s="1">
        <f t="shared" ref="E38:I38" si="280">AVERAGE(E7,E11,E15,E18,E22,E25,E29,E36)</f>
        <v>2.8125</v>
      </c>
      <c r="F38" s="1">
        <f t="shared" si="280"/>
        <v>1.7124999999999999</v>
      </c>
      <c r="G38" s="1">
        <f t="shared" si="280"/>
        <v>1.6625000000000001</v>
      </c>
      <c r="H38" s="1">
        <f t="shared" si="280"/>
        <v>2.4624999999999999</v>
      </c>
      <c r="I38" s="1">
        <f t="shared" si="280"/>
        <v>1.6875</v>
      </c>
      <c r="J38" s="1"/>
      <c r="K38" s="1">
        <f t="shared" ref="K38:O38" si="281">AVERAGE(K7,K11,K15,K18,K22,K25,K29,K36)</f>
        <v>3.4874999999999998</v>
      </c>
      <c r="L38" s="1">
        <f t="shared" si="281"/>
        <v>3.4</v>
      </c>
      <c r="M38" s="1">
        <f t="shared" si="281"/>
        <v>3</v>
      </c>
      <c r="N38" s="1">
        <f t="shared" si="281"/>
        <v>3.6875</v>
      </c>
      <c r="O38" s="1">
        <f t="shared" si="281"/>
        <v>2.3125</v>
      </c>
      <c r="P38" s="1"/>
      <c r="Q38" s="1">
        <f t="shared" ref="Q38:U38" si="282">AVERAGE(Q7,Q11,Q15,Q18,Q22,Q25,Q29,Q36)</f>
        <v>2.8250000000000002</v>
      </c>
      <c r="R38" s="1">
        <f t="shared" si="282"/>
        <v>2.95</v>
      </c>
      <c r="S38" s="1">
        <f t="shared" si="282"/>
        <v>2.2749999999999999</v>
      </c>
      <c r="T38" s="1">
        <f t="shared" si="282"/>
        <v>1.9</v>
      </c>
      <c r="U38" s="1">
        <f t="shared" si="282"/>
        <v>3.8875000000000002</v>
      </c>
      <c r="V38" s="1"/>
      <c r="W38" s="1">
        <f t="shared" ref="W38:AA38" si="283">AVERAGE(W7,W11,W15,W18,W22,W25,W29,W36)</f>
        <v>3.4874999999999998</v>
      </c>
      <c r="X38" s="1">
        <f t="shared" si="283"/>
        <v>2.9750000000000001</v>
      </c>
      <c r="Y38" s="1">
        <f t="shared" si="283"/>
        <v>3.7250000000000001</v>
      </c>
      <c r="Z38" s="1">
        <f t="shared" si="283"/>
        <v>2.9375</v>
      </c>
      <c r="AA38" s="1">
        <f t="shared" si="283"/>
        <v>3.55</v>
      </c>
      <c r="AB38" s="1"/>
      <c r="AC38" s="1">
        <f t="shared" ref="AC38:AG38" si="284">AVERAGE(AC7,AC11,AC15,AC18,AC22,AC25,AC29,AC36)</f>
        <v>2.8624999999999998</v>
      </c>
      <c r="AD38" s="1">
        <f t="shared" si="284"/>
        <v>2.9</v>
      </c>
      <c r="AE38" s="1">
        <f t="shared" si="284"/>
        <v>3.05</v>
      </c>
      <c r="AF38" s="1">
        <f t="shared" si="284"/>
        <v>2.0499999999999998</v>
      </c>
      <c r="AG38" s="1">
        <f t="shared" si="284"/>
        <v>3.875</v>
      </c>
      <c r="AH38" s="1"/>
      <c r="AI38" s="1">
        <f t="shared" ref="AI38:AM38" si="285">AVERAGE(AI7,AI11,AI15,AI18,AI22,AI25,AI29,AI36)</f>
        <v>1.25</v>
      </c>
      <c r="AJ38" s="1">
        <f t="shared" si="285"/>
        <v>1.325</v>
      </c>
      <c r="AK38" s="1">
        <f t="shared" si="285"/>
        <v>3.45</v>
      </c>
      <c r="AL38" s="1">
        <f t="shared" si="285"/>
        <v>3.85</v>
      </c>
      <c r="AM38" s="1">
        <f t="shared" si="285"/>
        <v>3.9</v>
      </c>
      <c r="AN38" s="1"/>
      <c r="AO38" s="1">
        <f t="shared" ref="AO38:AS38" si="286">AVERAGE(AO7,AO11,AO15,AO18,AO22,AO25,AO29,AO36)</f>
        <v>2.4874999999999998</v>
      </c>
      <c r="AP38" s="1">
        <f t="shared" si="286"/>
        <v>3.2124999999999999</v>
      </c>
      <c r="AQ38" s="1">
        <f t="shared" si="286"/>
        <v>2.3250000000000002</v>
      </c>
      <c r="AR38" s="1">
        <f t="shared" si="286"/>
        <v>3.35</v>
      </c>
      <c r="AS38" s="1">
        <f t="shared" si="286"/>
        <v>2.75</v>
      </c>
      <c r="AT38" s="1"/>
      <c r="AU38" s="1">
        <f t="shared" ref="AU38:AY38" si="287">AVERAGE(AU7,AU11,AU15,AU18,AU22,AU25,AU29,AU36)</f>
        <v>2.7124999999999999</v>
      </c>
      <c r="AV38" s="1">
        <f t="shared" si="287"/>
        <v>1.9750000000000001</v>
      </c>
      <c r="AW38" s="1">
        <f t="shared" si="287"/>
        <v>2.7875000000000001</v>
      </c>
      <c r="AX38" s="1">
        <f t="shared" si="287"/>
        <v>1.5125</v>
      </c>
      <c r="AY38" s="1">
        <f t="shared" si="287"/>
        <v>1.5874999999999999</v>
      </c>
      <c r="AZ38" s="1"/>
      <c r="BA38" s="1">
        <f t="shared" ref="BA38:BE38" si="288">AVERAGE(BA7,BA11,BA15,BA18,BA22,BA25,BA29,BA36)</f>
        <v>3.1375000000000002</v>
      </c>
      <c r="BB38" s="1">
        <f t="shared" si="288"/>
        <v>2.2124999999999999</v>
      </c>
      <c r="BC38" s="1">
        <f t="shared" si="288"/>
        <v>3.9249999999999998</v>
      </c>
      <c r="BD38" s="1">
        <f t="shared" si="288"/>
        <v>3.3624999999999998</v>
      </c>
      <c r="BE38" s="1">
        <f t="shared" si="288"/>
        <v>3.75</v>
      </c>
      <c r="BF38" s="1"/>
      <c r="BG38" s="1">
        <f t="shared" ref="BG38:BK38" si="289">AVERAGE(BG7,BG11,BG15,BG18,BG22,BG25,BG29,BG36)</f>
        <v>2.4500000000000002</v>
      </c>
      <c r="BH38" s="1">
        <f t="shared" si="289"/>
        <v>3</v>
      </c>
      <c r="BI38" s="1">
        <f t="shared" si="289"/>
        <v>1.9750000000000001</v>
      </c>
      <c r="BJ38" s="1">
        <f t="shared" si="289"/>
        <v>2.3250000000000002</v>
      </c>
      <c r="BK38" s="1">
        <f t="shared" si="289"/>
        <v>3.15</v>
      </c>
      <c r="BL38" s="1"/>
      <c r="BM38" s="1">
        <f t="shared" ref="BM38:BQ38" si="290">AVERAGE(BM7,BM11,BM15,BM18,BM22,BM25,BM29,BM36)</f>
        <v>2.8250000000000002</v>
      </c>
      <c r="BN38" s="1">
        <f t="shared" si="290"/>
        <v>1.45</v>
      </c>
      <c r="BO38" s="1">
        <f t="shared" si="290"/>
        <v>3.625</v>
      </c>
      <c r="BP38" s="1">
        <f t="shared" si="290"/>
        <v>1.8125</v>
      </c>
      <c r="BQ38" s="1">
        <f t="shared" si="290"/>
        <v>2.25</v>
      </c>
      <c r="BR38" s="1"/>
      <c r="BS38" s="1">
        <f t="shared" ref="BS38:BW38" si="291">AVERAGE(BS7,BS11,BS15,BS18,BS22,BS25,BS29,BS36)</f>
        <v>2.9</v>
      </c>
      <c r="BT38" s="1">
        <f t="shared" si="291"/>
        <v>3.2749999999999999</v>
      </c>
      <c r="BU38" s="1">
        <f t="shared" si="291"/>
        <v>2.5874999999999999</v>
      </c>
      <c r="BV38" s="1">
        <f t="shared" si="291"/>
        <v>3.2749999999999999</v>
      </c>
      <c r="BW38" s="1">
        <f t="shared" si="291"/>
        <v>2.4874999999999998</v>
      </c>
      <c r="BX38" s="1"/>
      <c r="BY38" s="1">
        <f t="shared" ref="BY38:CC38" si="292">AVERAGE(BY7,BY11,BY15,BY18,BY22,BY25,BY29,BY36)</f>
        <v>2.8624999999999998</v>
      </c>
      <c r="BZ38" s="1">
        <f t="shared" si="292"/>
        <v>3.4</v>
      </c>
      <c r="CA38" s="1">
        <f t="shared" si="292"/>
        <v>2.9624999999999999</v>
      </c>
      <c r="CB38" s="1">
        <f t="shared" si="292"/>
        <v>3.5125000000000002</v>
      </c>
      <c r="CC38" s="1">
        <f t="shared" si="292"/>
        <v>2.7</v>
      </c>
      <c r="CD38" s="1"/>
      <c r="CE38" s="1">
        <f t="shared" ref="CE38:CI38" si="293">AVERAGE(CE7,CE11,CE15,CE18,CE22,CE25,CE29,CE36)</f>
        <v>3.0125000000000002</v>
      </c>
      <c r="CF38" s="1">
        <f t="shared" si="293"/>
        <v>2.2000000000000002</v>
      </c>
      <c r="CG38" s="1">
        <f t="shared" si="293"/>
        <v>3.4375</v>
      </c>
      <c r="CH38" s="1">
        <f t="shared" si="293"/>
        <v>2.35</v>
      </c>
      <c r="CI38" s="1">
        <f t="shared" si="293"/>
        <v>4.0374999999999996</v>
      </c>
      <c r="CJ38" s="1"/>
      <c r="CK38" s="1">
        <f t="shared" ref="CK38:CO38" si="294">AVERAGE(CK7,CK11,CK15,CK18,CK22,CK25,CK29,CK36)</f>
        <v>3.2749999999999999</v>
      </c>
      <c r="CL38" s="1">
        <f t="shared" si="294"/>
        <v>3.0125000000000002</v>
      </c>
      <c r="CM38" s="1">
        <f t="shared" si="294"/>
        <v>2.3624999999999998</v>
      </c>
      <c r="CN38" s="1">
        <f t="shared" si="294"/>
        <v>2.5499999999999998</v>
      </c>
      <c r="CO38" s="1">
        <f t="shared" si="294"/>
        <v>4.0750000000000002</v>
      </c>
      <c r="CP38" s="1"/>
      <c r="CQ38" s="1">
        <f t="shared" ref="CQ38:CU38" si="295">AVERAGE(CQ7,CQ11,CQ15,CQ18,CQ22,CQ25,CQ29,CQ36)</f>
        <v>2.875</v>
      </c>
      <c r="CR38" s="1">
        <f t="shared" si="295"/>
        <v>2.8875000000000002</v>
      </c>
      <c r="CS38" s="1">
        <f t="shared" si="295"/>
        <v>2.4249999999999998</v>
      </c>
      <c r="CT38" s="1">
        <f t="shared" si="295"/>
        <v>3.4375</v>
      </c>
      <c r="CU38" s="1">
        <f t="shared" si="295"/>
        <v>1.4875</v>
      </c>
      <c r="CV38" s="1"/>
      <c r="CW38" s="1">
        <f t="shared" ref="CW38:DA38" si="296">AVERAGE(CW7,CW11,CW15,CW18,CW22,CW25,CW29,CW36)</f>
        <v>3.6375000000000002</v>
      </c>
      <c r="CX38" s="1">
        <f t="shared" si="296"/>
        <v>2.1124999999999998</v>
      </c>
      <c r="CY38" s="1">
        <f t="shared" si="296"/>
        <v>2.7124999999999999</v>
      </c>
      <c r="CZ38" s="1">
        <f t="shared" si="296"/>
        <v>2.625</v>
      </c>
      <c r="DA38" s="1">
        <f t="shared" si="296"/>
        <v>4.1500000000000004</v>
      </c>
      <c r="DB38" s="1"/>
      <c r="DC38" s="1">
        <f t="shared" ref="DC38:DG38" si="297">AVERAGE(DC7,DC11,DC15,DC18,DC22,DC25,DC29,DC36)</f>
        <v>3.15</v>
      </c>
      <c r="DD38" s="1">
        <f t="shared" si="297"/>
        <v>2.7625000000000002</v>
      </c>
      <c r="DE38" s="1">
        <f t="shared" si="297"/>
        <v>3.5249999999999999</v>
      </c>
      <c r="DF38" s="1">
        <f t="shared" si="297"/>
        <v>2.85</v>
      </c>
      <c r="DG38" s="1">
        <f t="shared" si="297"/>
        <v>2.5625</v>
      </c>
      <c r="DH38" s="1"/>
      <c r="DI38" s="1">
        <f t="shared" ref="DI38:DM38" si="298">AVERAGE(DI7,DI11,DI15,DI18,DI22,DI25,DI29,DI36)</f>
        <v>2.125</v>
      </c>
      <c r="DJ38" s="1">
        <f t="shared" si="298"/>
        <v>1.7250000000000001</v>
      </c>
      <c r="DK38" s="1">
        <f t="shared" si="298"/>
        <v>3.125</v>
      </c>
      <c r="DL38" s="1">
        <f t="shared" si="298"/>
        <v>1.7250000000000001</v>
      </c>
      <c r="DM38" s="1">
        <f t="shared" si="298"/>
        <v>4.0374999999999996</v>
      </c>
      <c r="DN38" s="1"/>
      <c r="DO38" s="1">
        <f t="shared" ref="DO38:DS38" si="299">AVERAGE(DO7,DO11,DO15,DO18,DO22,DO25,DO29,DO36)</f>
        <v>2.0750000000000002</v>
      </c>
      <c r="DP38" s="1">
        <f t="shared" si="299"/>
        <v>1.7124999999999999</v>
      </c>
      <c r="DQ38" s="1">
        <f t="shared" si="299"/>
        <v>3.05</v>
      </c>
      <c r="DR38" s="1">
        <f t="shared" si="299"/>
        <v>2.3125</v>
      </c>
      <c r="DS38" s="1">
        <f t="shared" si="299"/>
        <v>2.9375</v>
      </c>
      <c r="DT38" s="1"/>
      <c r="DU38" s="1">
        <f t="shared" ref="DU38:DY38" si="300">AVERAGE(DU7,DU11,DU15,DU18,DU22,DU25,DU29,DU36)</f>
        <v>3.0874999999999999</v>
      </c>
      <c r="DV38" s="1">
        <f t="shared" si="300"/>
        <v>3.2</v>
      </c>
      <c r="DW38" s="1">
        <f t="shared" si="300"/>
        <v>2.9750000000000001</v>
      </c>
      <c r="DX38" s="1">
        <f t="shared" si="300"/>
        <v>3</v>
      </c>
      <c r="DY38" s="1">
        <f t="shared" si="300"/>
        <v>2.5874999999999999</v>
      </c>
      <c r="DZ38" s="1"/>
      <c r="EA38" s="1">
        <f t="shared" ref="EA38:EE38" si="301">AVERAGE(EA7,EA11,EA15,EA18,EA22,EA25,EA29,EA36)</f>
        <v>4.0625</v>
      </c>
      <c r="EB38" s="1">
        <f t="shared" si="301"/>
        <v>1.7749999999999999</v>
      </c>
      <c r="EC38" s="1">
        <f t="shared" si="301"/>
        <v>3.4375</v>
      </c>
      <c r="ED38" s="1">
        <f t="shared" si="301"/>
        <v>1.875</v>
      </c>
      <c r="EE38" s="1">
        <f t="shared" si="301"/>
        <v>3.7124999999999999</v>
      </c>
      <c r="EF38" s="1"/>
      <c r="EG38" s="1">
        <f t="shared" ref="EG38:EK38" si="302">AVERAGE(EG7,EG11,EG15,EG18,EG22,EG25,EG29,EG36)</f>
        <v>3.0874999999999999</v>
      </c>
      <c r="EH38" s="1">
        <f t="shared" si="302"/>
        <v>2.8125</v>
      </c>
      <c r="EI38" s="1">
        <f t="shared" si="302"/>
        <v>3.7124999999999999</v>
      </c>
      <c r="EJ38" s="1">
        <f t="shared" si="302"/>
        <v>3.5</v>
      </c>
      <c r="EK38" s="1">
        <f t="shared" si="302"/>
        <v>3.3</v>
      </c>
      <c r="EL38" s="1"/>
      <c r="EM38" s="1">
        <f t="shared" ref="EM38:EQ38" si="303">AVERAGE(EM7,EM11,EM15,EM18,EM22,EM25,EM29,EM36)</f>
        <v>3.6124999999999998</v>
      </c>
      <c r="EN38" s="1">
        <f t="shared" si="303"/>
        <v>2.3250000000000002</v>
      </c>
      <c r="EO38" s="1">
        <f t="shared" si="303"/>
        <v>3.5874999999999999</v>
      </c>
      <c r="EP38" s="1">
        <f t="shared" si="303"/>
        <v>2.5750000000000002</v>
      </c>
      <c r="EQ38" s="1">
        <f t="shared" si="303"/>
        <v>2.8374999999999999</v>
      </c>
      <c r="ER38" s="1"/>
      <c r="ES38" s="1">
        <f t="shared" ref="ES38:EW38" si="304">AVERAGE(ES7,ES11,ES15,ES18,ES22,ES25,ES29,ES36)</f>
        <v>2.1749999999999998</v>
      </c>
      <c r="ET38" s="1">
        <f t="shared" si="304"/>
        <v>1.5125</v>
      </c>
      <c r="EU38" s="1">
        <f t="shared" si="304"/>
        <v>3.1375000000000002</v>
      </c>
      <c r="EV38" s="1">
        <f t="shared" si="304"/>
        <v>3.05</v>
      </c>
      <c r="EW38" s="1">
        <f t="shared" si="304"/>
        <v>3.2875000000000001</v>
      </c>
      <c r="EX38" s="1"/>
      <c r="EY38" s="1">
        <f t="shared" ref="EY38:FC38" si="305">AVERAGE(EY7,EY11,EY15,EY18,EY22,EY25,EY29,EY36)</f>
        <v>4.0875000000000004</v>
      </c>
      <c r="EZ38" s="1">
        <f t="shared" si="305"/>
        <v>2.0874999999999999</v>
      </c>
      <c r="FA38" s="1">
        <f t="shared" si="305"/>
        <v>2.7250000000000001</v>
      </c>
      <c r="FB38" s="1">
        <f t="shared" si="305"/>
        <v>1.7</v>
      </c>
      <c r="FC38" s="1">
        <f t="shared" si="305"/>
        <v>3.15</v>
      </c>
      <c r="FD38" s="1"/>
      <c r="FE38" s="1">
        <f t="shared" ref="FE38:FI38" si="306">AVERAGE(FE7,FE11,FE15,FE18,FE22,FE25,FE29,FE36)</f>
        <v>3.35</v>
      </c>
      <c r="FF38" s="1">
        <f t="shared" si="306"/>
        <v>1.6125</v>
      </c>
      <c r="FG38" s="1">
        <f t="shared" si="306"/>
        <v>2.7625000000000002</v>
      </c>
      <c r="FH38" s="1">
        <f t="shared" si="306"/>
        <v>3.5625</v>
      </c>
      <c r="FI38" s="1">
        <f t="shared" si="306"/>
        <v>2.3374999999999999</v>
      </c>
      <c r="FJ38" s="1"/>
      <c r="FK38" s="1">
        <f t="shared" ref="FK38:FO38" si="307">AVERAGE(FK7,FK11,FK15,FK18,FK22,FK25,FK29,FK36)</f>
        <v>3.5625</v>
      </c>
      <c r="FL38" s="1">
        <f t="shared" si="307"/>
        <v>2.0874999999999999</v>
      </c>
      <c r="FM38" s="1">
        <f t="shared" si="307"/>
        <v>3.3125</v>
      </c>
      <c r="FN38" s="1">
        <f t="shared" si="307"/>
        <v>3</v>
      </c>
      <c r="FO38" s="1">
        <f t="shared" si="307"/>
        <v>3.35</v>
      </c>
      <c r="FP38" s="1"/>
      <c r="FQ38" s="1">
        <f t="shared" ref="FQ38:FU38" si="308">AVERAGE(FQ7,FQ11,FQ15,FQ18,FQ22,FQ25,FQ29,FQ36)</f>
        <v>2.4249999999999998</v>
      </c>
      <c r="FR38" s="1">
        <f t="shared" si="308"/>
        <v>3</v>
      </c>
      <c r="FS38" s="1">
        <f t="shared" si="308"/>
        <v>3.35</v>
      </c>
      <c r="FT38" s="1">
        <f t="shared" si="308"/>
        <v>2.7250000000000001</v>
      </c>
      <c r="FU38" s="1">
        <f t="shared" si="308"/>
        <v>3.25</v>
      </c>
      <c r="FV38" s="1"/>
      <c r="FW38" s="1">
        <f t="shared" ref="FW38:GA38" si="309">AVERAGE(FW7,FW11,FW15,FW18,FW22,FW25,FW29,FW36)</f>
        <v>1.95</v>
      </c>
      <c r="FX38" s="1">
        <f t="shared" si="309"/>
        <v>1.625</v>
      </c>
      <c r="FY38" s="1">
        <f t="shared" si="309"/>
        <v>3.05</v>
      </c>
      <c r="FZ38" s="1">
        <f t="shared" si="309"/>
        <v>1.675</v>
      </c>
      <c r="GA38" s="1">
        <f t="shared" si="309"/>
        <v>4.0125000000000002</v>
      </c>
      <c r="GB38" s="1"/>
      <c r="GC38" s="1">
        <f t="shared" ref="GC38:GG38" si="310">AVERAGE(GC7,GC11,GC15,GC18,GC22,GC25,GC29,GC36)</f>
        <v>3.2124999999999999</v>
      </c>
      <c r="GD38" s="1">
        <f t="shared" si="310"/>
        <v>2.4874999999999998</v>
      </c>
      <c r="GE38" s="1">
        <f t="shared" si="310"/>
        <v>3.3250000000000002</v>
      </c>
      <c r="GF38" s="1">
        <f t="shared" si="310"/>
        <v>2.9249999999999998</v>
      </c>
      <c r="GG38" s="1">
        <f t="shared" si="310"/>
        <v>1.1375</v>
      </c>
      <c r="GH38" s="1"/>
      <c r="GI38" s="1">
        <f t="shared" ref="GI38:GM38" si="311">AVERAGE(GI7,GI11,GI15,GI18,GI22,GI25,GI29,GI36)</f>
        <v>3.3</v>
      </c>
      <c r="GJ38" s="1">
        <f t="shared" si="311"/>
        <v>3.1625000000000001</v>
      </c>
      <c r="GK38" s="1">
        <f t="shared" si="311"/>
        <v>3.3624999999999998</v>
      </c>
      <c r="GL38" s="1">
        <f t="shared" si="311"/>
        <v>2.95</v>
      </c>
      <c r="GM38" s="1">
        <f t="shared" si="311"/>
        <v>2.25</v>
      </c>
      <c r="GN38" s="1"/>
      <c r="GO38" s="1">
        <f t="shared" ref="GO38:GS38" si="312">AVERAGE(GO7,GO11,GO15,GO18,GO22,GO25,GO29,GO36)</f>
        <v>2.7374999999999998</v>
      </c>
      <c r="GP38" s="1">
        <f t="shared" si="312"/>
        <v>2.9</v>
      </c>
      <c r="GQ38" s="1">
        <f t="shared" si="312"/>
        <v>3.0375000000000001</v>
      </c>
      <c r="GR38" s="1">
        <f t="shared" si="312"/>
        <v>2.8624999999999998</v>
      </c>
      <c r="GS38" s="1">
        <f t="shared" si="312"/>
        <v>2.8374999999999999</v>
      </c>
      <c r="GT38" s="1"/>
      <c r="GU38" s="1">
        <f t="shared" ref="GU38:GY38" si="313">AVERAGE(GU7,GU11,GU15,GU18,GU22,GU25,GU29,GU36)</f>
        <v>3.3624999999999998</v>
      </c>
      <c r="GV38" s="1">
        <f t="shared" si="313"/>
        <v>2.4375</v>
      </c>
      <c r="GW38" s="1">
        <f t="shared" si="313"/>
        <v>3.8125</v>
      </c>
      <c r="GX38" s="1">
        <f t="shared" si="313"/>
        <v>3.05</v>
      </c>
      <c r="GY38" s="1">
        <f t="shared" si="313"/>
        <v>2.9249999999999998</v>
      </c>
      <c r="GZ38" s="1"/>
      <c r="HA38" s="1">
        <f t="shared" ref="HA38:HE38" si="314">AVERAGE(HA7,HA11,HA15,HA18,HA22,HA25,HA29,HA36)</f>
        <v>3.5375000000000001</v>
      </c>
      <c r="HB38" s="1">
        <f t="shared" si="314"/>
        <v>2.9750000000000001</v>
      </c>
      <c r="HC38" s="1">
        <f t="shared" si="314"/>
        <v>3.05</v>
      </c>
      <c r="HD38" s="1">
        <f t="shared" si="314"/>
        <v>3.8</v>
      </c>
      <c r="HE38" s="1">
        <f t="shared" si="314"/>
        <v>3.5874999999999999</v>
      </c>
    </row>
    <row r="39" spans="1:213" x14ac:dyDescent="0.25">
      <c r="A39" t="s">
        <v>207</v>
      </c>
      <c r="E39" s="1">
        <f>AVERAGE(E7,E11,E15,E18,E25,E29,E36)</f>
        <v>2.8571428571428572</v>
      </c>
      <c r="F39" s="1">
        <f>AVERAGE(F7,F11,F15,F18,F25,F29,F36)</f>
        <v>1.7428571428571427</v>
      </c>
      <c r="G39" s="1">
        <f>AVERAGE(G7,G11,G15,G18,G25,G29,G36)</f>
        <v>1.6142857142857143</v>
      </c>
      <c r="H39" s="1">
        <f>AVERAGE(H7,H11,H15,H18,H25,H29,H36)</f>
        <v>2.6</v>
      </c>
      <c r="I39" s="1">
        <f>I38</f>
        <v>1.6875</v>
      </c>
      <c r="J39" s="1"/>
      <c r="K39" s="1">
        <f>AVERAGE(K7,K11,K15,K18,K25,K29,K36)</f>
        <v>3.4142857142857141</v>
      </c>
      <c r="L39" s="1">
        <f>AVERAGE(L7,L11,L15,L18,L25,L29,L36)</f>
        <v>3.3142857142857141</v>
      </c>
      <c r="M39" s="1">
        <f>AVERAGE(M7,M11,M15,M18,M25,M29,M36)</f>
        <v>3.0714285714285716</v>
      </c>
      <c r="N39" s="1">
        <f>AVERAGE(N7,N11,N15,N18,N25,N29,N36)</f>
        <v>3.7142857142857144</v>
      </c>
      <c r="O39" s="1">
        <f t="shared" ref="O39" si="315">O38</f>
        <v>2.3125</v>
      </c>
      <c r="P39" s="1"/>
      <c r="Q39" s="1">
        <f>AVERAGE(Q7,Q11,Q15,Q18,Q25,Q29,Q36)</f>
        <v>2.9428571428571431</v>
      </c>
      <c r="R39" s="1">
        <f>AVERAGE(R7,R11,R15,R18,R25,R29,R36)</f>
        <v>3.0142857142857147</v>
      </c>
      <c r="S39" s="1">
        <f>AVERAGE(S7,S11,S15,S18,S25,S29,S36)</f>
        <v>2.2428571428571429</v>
      </c>
      <c r="T39" s="1">
        <f>AVERAGE(T7,T11,T15,T18,T25,T29,T36)</f>
        <v>1.8857142857142857</v>
      </c>
      <c r="U39" s="1">
        <f t="shared" ref="U39" si="316">U38</f>
        <v>3.8875000000000002</v>
      </c>
      <c r="V39" s="1"/>
      <c r="W39" s="1">
        <f>AVERAGE(W7,W11,W15,W18,W25,W29,W36)</f>
        <v>3.5571428571428569</v>
      </c>
      <c r="X39" s="1">
        <f>AVERAGE(X7,X11,X15,X18,X25,X29,X36)</f>
        <v>2.9</v>
      </c>
      <c r="Y39" s="1">
        <f>AVERAGE(Y7,Y11,Y15,Y18,Y25,Y29,Y36)</f>
        <v>3.6857142857142859</v>
      </c>
      <c r="Z39" s="1">
        <f>AVERAGE(Z7,Z11,Z15,Z18,Z25,Z29,Z36)</f>
        <v>2.9285714285714284</v>
      </c>
      <c r="AA39" s="1">
        <f t="shared" ref="AA39" si="317">AA38</f>
        <v>3.55</v>
      </c>
      <c r="AB39" s="1"/>
      <c r="AC39" s="1">
        <f>AVERAGE(AC7,AC11,AC15,AC18,AC25,AC29,AC36)</f>
        <v>2.9142857142857141</v>
      </c>
      <c r="AD39" s="1">
        <f>AVERAGE(AD7,AD11,AD15,AD18,AD25,AD29,AD36)</f>
        <v>3.0285714285714285</v>
      </c>
      <c r="AE39" s="1">
        <f>AVERAGE(AE7,AE11,AE15,AE18,AE25,AE29,AE36)</f>
        <v>3.1999999999999997</v>
      </c>
      <c r="AF39" s="1">
        <f>AVERAGE(AF7,AF11,AF15,AF18,AF25,AF29,AF36)</f>
        <v>2.1285714285714286</v>
      </c>
      <c r="AG39" s="1">
        <f t="shared" ref="AG39" si="318">AG38</f>
        <v>3.875</v>
      </c>
      <c r="AH39" s="1"/>
      <c r="AI39" s="1">
        <f>AVERAGE(AI7,AI11,AI15,AI18,AI25,AI29,AI36)</f>
        <v>1.2857142857142858</v>
      </c>
      <c r="AJ39" s="1">
        <f>AVERAGE(AJ7,AJ11,AJ15,AJ18,AJ25,AJ29,AJ36)</f>
        <v>1.3714285714285714</v>
      </c>
      <c r="AK39" s="1">
        <f>AVERAGE(AK7,AK11,AK15,AK18,AK25,AK29,AK36)</f>
        <v>3.5142857142857147</v>
      </c>
      <c r="AL39" s="1">
        <f>AVERAGE(AL7,AL11,AL15,AL18,AL25,AL29,AL36)</f>
        <v>3.9</v>
      </c>
      <c r="AM39" s="1">
        <f t="shared" ref="AM39" si="319">AM38</f>
        <v>3.9</v>
      </c>
      <c r="AN39" s="1"/>
      <c r="AO39" s="1">
        <f>AVERAGE(AO7,AO11,AO15,AO18,AO25,AO29,AO36)</f>
        <v>2.4142857142857141</v>
      </c>
      <c r="AP39" s="1">
        <f>AVERAGE(AP7,AP11,AP15,AP18,AP25,AP29,AP36)</f>
        <v>3.2428571428571429</v>
      </c>
      <c r="AQ39" s="1">
        <f>AVERAGE(AQ7,AQ11,AQ15,AQ18,AQ25,AQ29,AQ36)</f>
        <v>2.4428571428571431</v>
      </c>
      <c r="AR39" s="1">
        <f>AVERAGE(AR7,AR11,AR15,AR18,AR25,AR29,AR36)</f>
        <v>3.4714285714285715</v>
      </c>
      <c r="AS39" s="1">
        <f t="shared" ref="AS39" si="320">AS38</f>
        <v>2.75</v>
      </c>
      <c r="AT39" s="1"/>
      <c r="AU39" s="1">
        <f>AVERAGE(AU7,AU11,AU15,AU18,AU25,AU29,AU36)</f>
        <v>2.5285714285714285</v>
      </c>
      <c r="AV39" s="1">
        <f>AVERAGE(AV7,AV11,AV15,AV18,AV25,AV29,AV36)</f>
        <v>1.9714285714285715</v>
      </c>
      <c r="AW39" s="1">
        <f>AVERAGE(AW7,AW11,AW15,AW18,AW25,AW29,AW36)</f>
        <v>2.8285714285714287</v>
      </c>
      <c r="AX39" s="1">
        <f>AVERAGE(AX7,AX11,AX15,AX18,AX25,AX29,AX36)</f>
        <v>1.5142857142857142</v>
      </c>
      <c r="AY39" s="1">
        <f t="shared" ref="AY39" si="321">AY38</f>
        <v>1.5874999999999999</v>
      </c>
      <c r="AZ39" s="1"/>
      <c r="BA39" s="1">
        <f>AVERAGE(BA7,BA11,BA15,BA18,BA25,BA29,BA36)</f>
        <v>3.1571428571428575</v>
      </c>
      <c r="BB39" s="1">
        <f>AVERAGE(BB7,BB11,BB15,BB18,BB25,BB29,BB36)</f>
        <v>2.2428571428571429</v>
      </c>
      <c r="BC39" s="1">
        <f>AVERAGE(BC7,BC11,BC15,BC18,BC25,BC29,BC36)</f>
        <v>3.9857142857142853</v>
      </c>
      <c r="BD39" s="1">
        <f>AVERAGE(BD7,BD11,BD15,BD18,BD25,BD29,BD36)</f>
        <v>3.3428571428571425</v>
      </c>
      <c r="BE39" s="1">
        <f t="shared" ref="BE39" si="322">BE38</f>
        <v>3.75</v>
      </c>
      <c r="BF39" s="1"/>
      <c r="BG39" s="1">
        <f>AVERAGE(BG7,BG11,BG15,BG18,BG25,BG29,BG36)</f>
        <v>2.4428571428571431</v>
      </c>
      <c r="BH39" s="1">
        <f>AVERAGE(BH7,BH11,BH15,BH18,BH25,BH29,BH36)</f>
        <v>3</v>
      </c>
      <c r="BI39" s="1">
        <f>AVERAGE(BI7,BI11,BI15,BI18,BI25,BI29,BI36)</f>
        <v>2.0428571428571431</v>
      </c>
      <c r="BJ39" s="1">
        <f>AVERAGE(BJ7,BJ11,BJ15,BJ18,BJ25,BJ29,BJ36)</f>
        <v>2.3000000000000003</v>
      </c>
      <c r="BK39" s="1">
        <f t="shared" ref="BK39" si="323">BK38</f>
        <v>3.15</v>
      </c>
      <c r="BL39" s="1"/>
      <c r="BM39" s="1">
        <f>AVERAGE(BM7,BM11,BM15,BM18,BM25,BM29,BM36)</f>
        <v>2.8714285714285714</v>
      </c>
      <c r="BN39" s="1">
        <f>AVERAGE(BN7,BN11,BN15,BN18,BN25,BN29,BN36)</f>
        <v>1.5142857142857142</v>
      </c>
      <c r="BO39" s="1">
        <f>AVERAGE(BO7,BO11,BO15,BO18,BO25,BO29,BO36)</f>
        <v>3.6428571428571428</v>
      </c>
      <c r="BP39" s="1">
        <f>AVERAGE(BP7,BP11,BP15,BP18,BP25,BP29,BP36)</f>
        <v>1.7857142857142858</v>
      </c>
      <c r="BQ39" s="1">
        <f t="shared" ref="BQ39" si="324">BQ38</f>
        <v>2.25</v>
      </c>
      <c r="BR39" s="1"/>
      <c r="BS39" s="1">
        <f>AVERAGE(BS7,BS11,BS15,BS18,BS25,BS29,BS36)</f>
        <v>2.9571428571428569</v>
      </c>
      <c r="BT39" s="1">
        <f>AVERAGE(BT7,BT11,BT15,BT18,BT25,BT29,BT36)</f>
        <v>3.3857142857142857</v>
      </c>
      <c r="BU39" s="1">
        <f>AVERAGE(BU7,BU11,BU15,BU18,BU25,BU29,BU36)</f>
        <v>2.7428571428571429</v>
      </c>
      <c r="BV39" s="1">
        <f>AVERAGE(BV7,BV11,BV15,BV18,BV25,BV29,BV36)</f>
        <v>3.3857142857142857</v>
      </c>
      <c r="BW39" s="1">
        <f t="shared" ref="BW39" si="325">BW38</f>
        <v>2.4874999999999998</v>
      </c>
      <c r="BX39" s="1"/>
      <c r="BY39" s="1">
        <f>AVERAGE(BY7,BY11,BY15,BY18,BY25,BY29,BY36)</f>
        <v>2.9857142857142853</v>
      </c>
      <c r="BZ39" s="1">
        <f>AVERAGE(BZ7,BZ11,BZ15,BZ18,BZ25,BZ29,BZ36)</f>
        <v>3.6</v>
      </c>
      <c r="CA39" s="1">
        <f>AVERAGE(CA7,CA11,CA15,CA18,CA25,CA29,CA36)</f>
        <v>3.0285714285714285</v>
      </c>
      <c r="CB39" s="1">
        <f>AVERAGE(CB7,CB11,CB15,CB18,CB25,CB29,CB36)</f>
        <v>3.5142857142857147</v>
      </c>
      <c r="CC39" s="1">
        <f t="shared" ref="CC39" si="326">CC38</f>
        <v>2.7</v>
      </c>
      <c r="CD39" s="1"/>
      <c r="CE39" s="1">
        <f>AVERAGE(CE7,CE11,CE15,CE18,CE25,CE29,CE36)</f>
        <v>2.9428571428571431</v>
      </c>
      <c r="CF39" s="1">
        <f>AVERAGE(CF7,CF11,CF15,CF18,CF25,CF29,CF36)</f>
        <v>2.2285714285714286</v>
      </c>
      <c r="CG39" s="1">
        <f>AVERAGE(CG7,CG11,CG15,CG18,CG25,CG29,CG36)</f>
        <v>3.7142857142857144</v>
      </c>
      <c r="CH39" s="1">
        <f>AVERAGE(CH7,CH11,CH15,CH18,CH25,CH29,CH36)</f>
        <v>2.4</v>
      </c>
      <c r="CI39" s="1">
        <f t="shared" ref="CI39" si="327">CI38</f>
        <v>4.0374999999999996</v>
      </c>
      <c r="CJ39" s="1"/>
      <c r="CK39" s="1">
        <f>AVERAGE(CK7,CK11,CK15,CK18,CK25,CK29,CK36)</f>
        <v>3.3857142857142857</v>
      </c>
      <c r="CL39" s="1">
        <f>AVERAGE(CL7,CL11,CL15,CL18,CL25,CL29,CL36)</f>
        <v>3.0142857142857147</v>
      </c>
      <c r="CM39" s="1">
        <f>AVERAGE(CM7,CM11,CM15,CM18,CM25,CM29,CM36)</f>
        <v>2.2714285714285714</v>
      </c>
      <c r="CN39" s="1">
        <f>AVERAGE(CN7,CN11,CN15,CN18,CN25,CN29,CN36)</f>
        <v>2.4857142857142853</v>
      </c>
      <c r="CO39" s="1">
        <f t="shared" ref="CO39" si="328">CO38</f>
        <v>4.0750000000000002</v>
      </c>
      <c r="CP39" s="1"/>
      <c r="CQ39" s="1">
        <f>AVERAGE(CQ7,CQ11,CQ15,CQ18,CQ25,CQ29,CQ36)</f>
        <v>2.7142857142857144</v>
      </c>
      <c r="CR39" s="1">
        <f>AVERAGE(CR7,CR11,CR15,CR18,CR25,CR29,CR36)</f>
        <v>2.8714285714285714</v>
      </c>
      <c r="CS39" s="1">
        <f>AVERAGE(CS7,CS11,CS15,CS18,CS25,CS29,CS36)</f>
        <v>2.6285714285714286</v>
      </c>
      <c r="CT39" s="1">
        <f>AVERAGE(CT7,CT11,CT15,CT18,CT25,CT29,CT36)</f>
        <v>3.5</v>
      </c>
      <c r="CU39" s="1">
        <f t="shared" ref="CU39" si="329">CU38</f>
        <v>1.4875</v>
      </c>
      <c r="CV39" s="1"/>
      <c r="CW39" s="1">
        <f>AVERAGE(CW7,CW11,CW15,CW18,CW25,CW29,CW36)</f>
        <v>3.7285714285714286</v>
      </c>
      <c r="CX39" s="1">
        <f>AVERAGE(CX7,CX11,CX15,CX18,CX25,CX29,CX36)</f>
        <v>2.1285714285714286</v>
      </c>
      <c r="CY39" s="1">
        <f>AVERAGE(CY7,CY11,CY15,CY18,CY25,CY29,CY36)</f>
        <v>2.8142857142857141</v>
      </c>
      <c r="CZ39" s="1">
        <f>AVERAGE(CZ7,CZ11,CZ15,CZ18,CZ25,CZ29,CZ36)</f>
        <v>2.6428571428571428</v>
      </c>
      <c r="DA39" s="1">
        <f t="shared" ref="DA39" si="330">DA38</f>
        <v>4.1500000000000004</v>
      </c>
      <c r="DB39" s="1"/>
      <c r="DC39" s="1">
        <f>AVERAGE(DC7,DC11,DC15,DC18,DC25,DC29,DC36)</f>
        <v>3.2428571428571429</v>
      </c>
      <c r="DD39" s="1">
        <f>AVERAGE(DD7,DD11,DD15,DD18,DD25,DD29,DD36)</f>
        <v>2.8714285714285714</v>
      </c>
      <c r="DE39" s="1">
        <f>AVERAGE(DE7,DE11,DE15,DE18,DE25,DE29,DE36)</f>
        <v>3.4571428571428569</v>
      </c>
      <c r="DF39" s="1">
        <f>AVERAGE(DF7,DF11,DF15,DF18,DF25,DF29,DF36)</f>
        <v>2.9714285714285715</v>
      </c>
      <c r="DG39" s="1">
        <f t="shared" ref="DG39" si="331">DG38</f>
        <v>2.5625</v>
      </c>
      <c r="DH39" s="1"/>
      <c r="DI39" s="1">
        <f>AVERAGE(DI7,DI11,DI15,DI18,DI25,DI29,DI36)</f>
        <v>2.0714285714285716</v>
      </c>
      <c r="DJ39" s="1">
        <f>AVERAGE(DJ7,DJ11,DJ15,DJ18,DJ25,DJ29,DJ36)</f>
        <v>1.6857142857142857</v>
      </c>
      <c r="DK39" s="1">
        <f>AVERAGE(DK7,DK11,DK15,DK18,DK25,DK29,DK36)</f>
        <v>3.0714285714285716</v>
      </c>
      <c r="DL39" s="1">
        <f>AVERAGE(DL7,DL11,DL15,DL18,DL25,DL29,DL36)</f>
        <v>1.6857142857142857</v>
      </c>
      <c r="DM39" s="1">
        <f t="shared" ref="DM39" si="332">DM38</f>
        <v>4.0374999999999996</v>
      </c>
      <c r="DN39" s="1"/>
      <c r="DO39" s="1">
        <f>AVERAGE(DO7,DO11,DO15,DO18,DO25,DO29,DO36)</f>
        <v>2.0857142857142859</v>
      </c>
      <c r="DP39" s="1">
        <f>AVERAGE(DP7,DP11,DP15,DP18,DP25,DP29,DP36)</f>
        <v>1.7428571428571427</v>
      </c>
      <c r="DQ39" s="1">
        <f>AVERAGE(DQ7,DQ11,DQ15,DQ18,DQ25,DQ29,DQ36)</f>
        <v>3.1999999999999997</v>
      </c>
      <c r="DR39" s="1">
        <f>AVERAGE(DR7,DR11,DR15,DR18,DR25,DR29,DR36)</f>
        <v>2.3571428571428572</v>
      </c>
      <c r="DS39" s="1">
        <f t="shared" ref="DS39" si="333">DS38</f>
        <v>2.9375</v>
      </c>
      <c r="DT39" s="1"/>
      <c r="DU39" s="1">
        <f>AVERAGE(DU7,DU11,DU15,DU18,DU25,DU29,DU36)</f>
        <v>3.0285714285714285</v>
      </c>
      <c r="DV39" s="1">
        <f>AVERAGE(DV7,DV11,DV15,DV18,DV25,DV29,DV36)</f>
        <v>3.2285714285714286</v>
      </c>
      <c r="DW39" s="1">
        <f>AVERAGE(DW7,DW11,DW15,DW18,DW25,DW29,DW36)</f>
        <v>2.8285714285714287</v>
      </c>
      <c r="DX39" s="1">
        <f>AVERAGE(DX7,DX11,DX15,DX18,DX25,DX29,DX36)</f>
        <v>3</v>
      </c>
      <c r="DY39" s="1">
        <f t="shared" ref="DY39" si="334">DY38</f>
        <v>2.5874999999999999</v>
      </c>
      <c r="DZ39" s="1"/>
      <c r="EA39" s="1">
        <f>AVERAGE(EA7,EA11,EA15,EA18,EA25,EA29,EA36)</f>
        <v>4.0714285714285712</v>
      </c>
      <c r="EB39" s="1">
        <f>AVERAGE(EB7,EB11,EB15,EB18,EB25,EB29,EB36)</f>
        <v>1.7428571428571427</v>
      </c>
      <c r="EC39" s="1">
        <f>AVERAGE(EC7,EC11,EC15,EC18,EC25,EC29,EC36)</f>
        <v>3.5</v>
      </c>
      <c r="ED39" s="1">
        <f>AVERAGE(ED7,ED11,ED15,ED18,ED25,ED29,ED36)</f>
        <v>1.8571428571428572</v>
      </c>
      <c r="EE39" s="1">
        <f t="shared" ref="EE39" si="335">EE38</f>
        <v>3.7124999999999999</v>
      </c>
      <c r="EF39" s="1"/>
      <c r="EG39" s="1">
        <f>AVERAGE(EG7,EG11,EG15,EG18,EG25,EG29,EG36)</f>
        <v>3.1</v>
      </c>
      <c r="EH39" s="1">
        <f>AVERAGE(EH7,EH11,EH15,EH18,EH25,EH29,EH36)</f>
        <v>2.9285714285714284</v>
      </c>
      <c r="EI39" s="1">
        <f>AVERAGE(EI7,EI11,EI15,EI18,EI25,EI29,EI36)</f>
        <v>3.7428571428571429</v>
      </c>
      <c r="EJ39" s="1">
        <f>AVERAGE(EJ7,EJ11,EJ15,EJ18,EJ25,EJ29,EJ36)</f>
        <v>3.5</v>
      </c>
      <c r="EK39" s="1">
        <f t="shared" ref="EK39" si="336">EK38</f>
        <v>3.3</v>
      </c>
      <c r="EL39" s="1"/>
      <c r="EM39" s="1">
        <f>AVERAGE(EM7,EM11,EM15,EM18,EM25,EM29,EM36)</f>
        <v>3.5571428571428569</v>
      </c>
      <c r="EN39" s="1">
        <f>AVERAGE(EN7,EN11,EN15,EN18,EN25,EN29,EN36)</f>
        <v>2.3000000000000003</v>
      </c>
      <c r="EO39" s="1">
        <f>AVERAGE(EO7,EO11,EO15,EO18,EO25,EO29,EO36)</f>
        <v>3.5285714285714285</v>
      </c>
      <c r="EP39" s="1">
        <f>AVERAGE(EP7,EP11,EP15,EP18,EP25,EP29,EP36)</f>
        <v>2.6571428571428575</v>
      </c>
      <c r="EQ39" s="1">
        <f t="shared" ref="EQ39" si="337">EQ38</f>
        <v>2.8374999999999999</v>
      </c>
      <c r="ER39" s="1"/>
      <c r="ES39" s="1">
        <f>AVERAGE(ES7,ES11,ES15,ES18,ES25,ES29,ES36)</f>
        <v>2.2000000000000002</v>
      </c>
      <c r="ET39" s="1">
        <f>AVERAGE(ET7,ET11,ET15,ET18,ET25,ET29,ET36)</f>
        <v>1.5142857142857142</v>
      </c>
      <c r="EU39" s="1">
        <f>AVERAGE(EU7,EU11,EU15,EU18,EU25,EU29,EU36)</f>
        <v>3.2285714285714286</v>
      </c>
      <c r="EV39" s="1">
        <f>AVERAGE(EV7,EV11,EV15,EV18,EV25,EV29,EV36)</f>
        <v>3.0571428571428569</v>
      </c>
      <c r="EW39" s="1">
        <f t="shared" ref="EW39" si="338">EW38</f>
        <v>3.2875000000000001</v>
      </c>
      <c r="EX39" s="1"/>
      <c r="EY39" s="1">
        <f>AVERAGE(EY7,EY11,EY15,EY18,EY25,EY29,EY36)</f>
        <v>4.0999999999999996</v>
      </c>
      <c r="EZ39" s="1">
        <f>AVERAGE(EZ7,EZ11,EZ15,EZ18,EZ25,EZ29,EZ36)</f>
        <v>2.1</v>
      </c>
      <c r="FA39" s="1">
        <f>AVERAGE(FA7,FA11,FA15,FA18,FA25,FA29,FA36)</f>
        <v>2.6857142857142859</v>
      </c>
      <c r="FB39" s="1">
        <f>AVERAGE(FB7,FB11,FB15,FB18,FB25,FB29,FB36)</f>
        <v>1.7285714285714284</v>
      </c>
      <c r="FC39" s="1">
        <f t="shared" ref="FC39" si="339">FC38</f>
        <v>3.15</v>
      </c>
      <c r="FD39" s="1"/>
      <c r="FE39" s="1">
        <f>AVERAGE(FE7,FE11,FE15,FE18,FE25,FE29,FE36)</f>
        <v>3.5428571428571431</v>
      </c>
      <c r="FF39" s="1">
        <f>AVERAGE(FF7,FF11,FF15,FF18,FF25,FF29,FF36)</f>
        <v>1.6285714285714286</v>
      </c>
      <c r="FG39" s="1">
        <f>AVERAGE(FG7,FG11,FG15,FG18,FG25,FG29,FG36)</f>
        <v>2.8714285714285714</v>
      </c>
      <c r="FH39" s="1">
        <f>AVERAGE(FH7,FH11,FH15,FH18,FH25,FH29,FH36)</f>
        <v>3.6428571428571428</v>
      </c>
      <c r="FI39" s="1">
        <f t="shared" ref="FI39" si="340">FI38</f>
        <v>2.3374999999999999</v>
      </c>
      <c r="FJ39" s="1"/>
      <c r="FK39" s="1">
        <f>AVERAGE(FK7,FK11,FK15,FK18,FK25,FK29,FK36)</f>
        <v>3.7142857142857144</v>
      </c>
      <c r="FL39" s="1">
        <f>AVERAGE(FL7,FL11,FL15,FL18,FL25,FL29,FL36)</f>
        <v>2.1714285714285713</v>
      </c>
      <c r="FM39" s="1">
        <f>AVERAGE(FM7,FM11,FM15,FM18,FM25,FM29,FM36)</f>
        <v>3.2142857142857144</v>
      </c>
      <c r="FN39" s="1">
        <f>AVERAGE(FN7,FN11,FN15,FN18,FN25,FN29,FN36)</f>
        <v>3.1428571428571428</v>
      </c>
      <c r="FO39" s="1">
        <f t="shared" ref="FO39" si="341">FO38</f>
        <v>3.35</v>
      </c>
      <c r="FP39" s="1"/>
      <c r="FQ39" s="1">
        <f>AVERAGE(FQ7,FQ11,FQ15,FQ18,FQ25,FQ29,FQ36)</f>
        <v>2.5571428571428569</v>
      </c>
      <c r="FR39" s="1">
        <f>AVERAGE(FR7,FR11,FR15,FR18,FR25,FR29,FR36)</f>
        <v>3.1428571428571428</v>
      </c>
      <c r="FS39" s="1">
        <f>AVERAGE(FS7,FS11,FS15,FS18,FS25,FS29,FS36)</f>
        <v>3.4714285714285715</v>
      </c>
      <c r="FT39" s="1">
        <f>AVERAGE(FT7,FT11,FT15,FT18,FT25,FT29,FT36)</f>
        <v>2.8285714285714287</v>
      </c>
      <c r="FU39" s="1">
        <f t="shared" ref="FU39" si="342">FU38</f>
        <v>3.25</v>
      </c>
      <c r="FV39" s="1"/>
      <c r="FW39" s="1">
        <f>AVERAGE(FW7,FW11,FW15,FW18,FW25,FW29,FW36)</f>
        <v>1.9428571428571428</v>
      </c>
      <c r="FX39" s="1">
        <f>AVERAGE(FX7,FX11,FX15,FX18,FX25,FX29,FX36)</f>
        <v>1.5714285714285714</v>
      </c>
      <c r="FY39" s="1">
        <f>AVERAGE(FY7,FY11,FY15,FY18,FY25,FY29,FY36)</f>
        <v>3.2714285714285714</v>
      </c>
      <c r="FZ39" s="1">
        <f>AVERAGE(FZ7,FZ11,FZ15,FZ18,FZ25,FZ29,FZ36)</f>
        <v>1.6285714285714286</v>
      </c>
      <c r="GA39" s="1">
        <f t="shared" ref="GA39" si="343">GA38</f>
        <v>4.0125000000000002</v>
      </c>
      <c r="GB39" s="1"/>
      <c r="GC39" s="1">
        <f>AVERAGE(GC7,GC11,GC15,GC18,GC25,GC29,GC36)</f>
        <v>3.3857142857142857</v>
      </c>
      <c r="GD39" s="1">
        <f>AVERAGE(GD7,GD11,GD15,GD18,GD25,GD29,GD36)</f>
        <v>2.5571428571428569</v>
      </c>
      <c r="GE39" s="1">
        <f>AVERAGE(GE7,GE11,GE15,GE18,GE25,GE29,GE36)</f>
        <v>3.4428571428571431</v>
      </c>
      <c r="GF39" s="1">
        <f>AVERAGE(GF7,GF11,GF15,GF18,GF25,GF29,GF36)</f>
        <v>2.9857142857142853</v>
      </c>
      <c r="GG39" s="1">
        <f t="shared" ref="GG39" si="344">GG38</f>
        <v>1.1375</v>
      </c>
      <c r="GH39" s="1"/>
      <c r="GI39" s="1">
        <f>AVERAGE(GI7,GI11,GI15,GI18,GI25,GI29,GI36)</f>
        <v>3.3428571428571425</v>
      </c>
      <c r="GJ39" s="1">
        <f>AVERAGE(GJ7,GJ11,GJ15,GJ18,GJ25,GJ29,GJ36)</f>
        <v>3.1142857142857143</v>
      </c>
      <c r="GK39" s="1">
        <f>AVERAGE(GK7,GK11,GK15,GK18,GK25,GK29,GK36)</f>
        <v>3.4142857142857141</v>
      </c>
      <c r="GL39" s="1">
        <f>AVERAGE(GL7,GL11,GL15,GL18,GL25,GL29,GL36)</f>
        <v>2.9428571428571431</v>
      </c>
      <c r="GM39" s="1">
        <f t="shared" ref="GM39" si="345">GM38</f>
        <v>2.25</v>
      </c>
      <c r="GN39" s="1"/>
      <c r="GO39" s="1">
        <f>AVERAGE(GO7,GO11,GO15,GO18,GO25,GO29,GO36)</f>
        <v>2.7714285714285714</v>
      </c>
      <c r="GP39" s="1">
        <f>AVERAGE(GP7,GP11,GP15,GP18,GP25,GP29,GP36)</f>
        <v>2.8857142857142857</v>
      </c>
      <c r="GQ39" s="1">
        <f>AVERAGE(GQ7,GQ11,GQ15,GQ18,GQ25,GQ29,GQ36)</f>
        <v>3.0428571428571431</v>
      </c>
      <c r="GR39" s="1">
        <f>AVERAGE(GR7,GR11,GR15,GR18,GR25,GR29,GR36)</f>
        <v>2.8428571428571425</v>
      </c>
      <c r="GS39" s="1">
        <f t="shared" ref="GS39" si="346">GS38</f>
        <v>2.8374999999999999</v>
      </c>
      <c r="GT39" s="1"/>
      <c r="GU39" s="1">
        <f>AVERAGE(GU7,GU11,GU15,GU18,GU25,GU29,GU36)</f>
        <v>3.4142857142857141</v>
      </c>
      <c r="GV39" s="1">
        <f>AVERAGE(GV7,GV11,GV15,GV18,GV25,GV29,GV36)</f>
        <v>2.5</v>
      </c>
      <c r="GW39" s="1">
        <f>AVERAGE(GW7,GW11,GW15,GW18,GW25,GW29,GW36)</f>
        <v>3.8571428571428572</v>
      </c>
      <c r="GX39" s="1">
        <f>AVERAGE(GX7,GX11,GX15,GX18,GX25,GX29,GX36)</f>
        <v>3.1285714285714286</v>
      </c>
      <c r="GY39" s="1">
        <f t="shared" ref="GY39" si="347">GY38</f>
        <v>2.9249999999999998</v>
      </c>
      <c r="GZ39" s="1"/>
      <c r="HA39" s="1">
        <f>AVERAGE(HA7,HA11,HA15,HA18,HA25,HA29,HA36)</f>
        <v>3.6142857142857143</v>
      </c>
      <c r="HB39" s="1">
        <f>AVERAGE(HB7,HB11,HB15,HB18,HB25,HB29,HB36)</f>
        <v>2.9714285714285715</v>
      </c>
      <c r="HC39" s="1">
        <f>AVERAGE(HC7,HC11,HC15,HC18,HC25,HC29,HC36)</f>
        <v>2.9857142857142853</v>
      </c>
      <c r="HD39" s="1">
        <f>AVERAGE(HD7,HD11,HD15,HD18,HD25,HD29,HD36)</f>
        <v>3.8428571428571425</v>
      </c>
      <c r="HE39" s="1">
        <f t="shared" ref="HE39" si="348">HE38</f>
        <v>3.5874999999999999</v>
      </c>
    </row>
    <row r="40" spans="1:213" x14ac:dyDescent="0.25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</row>
    <row r="41" spans="1:213" x14ac:dyDescent="0.25">
      <c r="A41" t="s">
        <v>208</v>
      </c>
      <c r="B41" t="s">
        <v>209</v>
      </c>
      <c r="C41">
        <v>826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>
        <v>3</v>
      </c>
      <c r="X41" s="1">
        <v>1</v>
      </c>
      <c r="Y41" s="1">
        <v>4</v>
      </c>
      <c r="Z41" s="1">
        <v>2</v>
      </c>
      <c r="AA41" s="1">
        <v>4</v>
      </c>
      <c r="AB41" s="1"/>
      <c r="AC41" s="1"/>
      <c r="AD41" s="1"/>
      <c r="AE41" s="1"/>
      <c r="AF41" s="1"/>
      <c r="AG41" s="1"/>
      <c r="AH41" s="1"/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>
        <v>1</v>
      </c>
      <c r="CL41" s="1">
        <v>1</v>
      </c>
      <c r="CM41" s="1">
        <v>1</v>
      </c>
      <c r="CN41" s="1">
        <v>1</v>
      </c>
      <c r="CO41" s="1">
        <v>4</v>
      </c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>
        <v>5</v>
      </c>
      <c r="EB41" s="1">
        <v>1</v>
      </c>
      <c r="EC41" s="1">
        <v>1</v>
      </c>
      <c r="ED41" s="1">
        <v>1</v>
      </c>
      <c r="EE41" s="1">
        <v>5</v>
      </c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>
        <v>1</v>
      </c>
      <c r="FL41" s="1">
        <v>1</v>
      </c>
      <c r="FM41" s="1">
        <v>2</v>
      </c>
      <c r="FN41" s="1">
        <v>1</v>
      </c>
      <c r="FO41" s="1">
        <v>1</v>
      </c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>
        <v>1</v>
      </c>
      <c r="GP41" s="1">
        <v>1</v>
      </c>
      <c r="GQ41" s="1">
        <v>1</v>
      </c>
      <c r="GR41" s="1">
        <v>1</v>
      </c>
      <c r="GS41" s="1">
        <v>1</v>
      </c>
      <c r="GT41" s="1"/>
      <c r="GU41" s="1"/>
      <c r="GV41" s="1"/>
      <c r="GW41" s="1"/>
      <c r="GX41" s="1"/>
      <c r="GY41" s="1"/>
      <c r="GZ41" s="1"/>
      <c r="HA41" s="1">
        <v>1</v>
      </c>
      <c r="HB41" s="1">
        <v>1</v>
      </c>
      <c r="HC41" s="1">
        <v>1</v>
      </c>
      <c r="HD41" s="1">
        <v>3</v>
      </c>
      <c r="HE41" s="1">
        <v>2</v>
      </c>
    </row>
    <row r="42" spans="1:213" x14ac:dyDescent="0.25">
      <c r="A42" t="s">
        <v>210</v>
      </c>
      <c r="B42" t="s">
        <v>209</v>
      </c>
      <c r="C42">
        <v>852</v>
      </c>
      <c r="E42" s="1">
        <v>3</v>
      </c>
      <c r="F42" s="1">
        <v>1</v>
      </c>
      <c r="G42" s="1">
        <v>3</v>
      </c>
      <c r="H42" s="1">
        <v>2</v>
      </c>
      <c r="I42" s="1">
        <v>1</v>
      </c>
      <c r="J42" s="1"/>
      <c r="K42" s="1"/>
      <c r="L42" s="1"/>
      <c r="M42" s="1"/>
      <c r="N42" s="1"/>
      <c r="O42" s="1"/>
      <c r="P42" s="1"/>
      <c r="Q42" s="1">
        <v>2</v>
      </c>
      <c r="R42" s="1">
        <v>2</v>
      </c>
      <c r="S42" s="1">
        <v>2</v>
      </c>
      <c r="T42" s="1">
        <v>2</v>
      </c>
      <c r="U42" s="1">
        <v>3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>
        <v>5</v>
      </c>
      <c r="AP42" s="1">
        <v>5</v>
      </c>
      <c r="AQ42" s="1">
        <v>4</v>
      </c>
      <c r="AR42" s="1">
        <v>2</v>
      </c>
      <c r="AS42" s="1">
        <v>1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>
        <v>1</v>
      </c>
      <c r="BT42" s="1">
        <v>2</v>
      </c>
      <c r="BU42" s="1">
        <v>2</v>
      </c>
      <c r="BV42" s="1">
        <v>2</v>
      </c>
      <c r="BW42" s="1">
        <v>4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>
        <v>5</v>
      </c>
      <c r="CR42" s="1">
        <v>3</v>
      </c>
      <c r="CS42" s="1">
        <v>2</v>
      </c>
      <c r="CT42" s="1">
        <v>5</v>
      </c>
      <c r="CU42" s="1">
        <v>1</v>
      </c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>
        <v>1</v>
      </c>
      <c r="DV42" s="1">
        <v>5</v>
      </c>
      <c r="DW42" s="1">
        <v>3</v>
      </c>
      <c r="DX42" s="1">
        <v>4</v>
      </c>
      <c r="DY42" s="1">
        <v>1</v>
      </c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>
        <v>2</v>
      </c>
      <c r="FX42" s="1">
        <v>1</v>
      </c>
      <c r="FY42" s="1">
        <v>2</v>
      </c>
      <c r="FZ42" s="1">
        <v>2</v>
      </c>
      <c r="GA42" s="1">
        <v>2</v>
      </c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</row>
    <row r="43" spans="1:213" x14ac:dyDescent="0.25">
      <c r="A43" t="s">
        <v>211</v>
      </c>
      <c r="B43" t="s">
        <v>209</v>
      </c>
      <c r="C43">
        <v>1374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>
        <v>4</v>
      </c>
      <c r="AV43" s="1">
        <v>1</v>
      </c>
      <c r="AW43" s="1">
        <v>4</v>
      </c>
      <c r="AX43" s="1">
        <v>1</v>
      </c>
      <c r="AY43" s="1">
        <v>1</v>
      </c>
      <c r="AZ43" s="1"/>
      <c r="BA43" s="1">
        <v>1</v>
      </c>
      <c r="BB43" s="1">
        <v>1</v>
      </c>
      <c r="BC43" s="1">
        <v>3</v>
      </c>
      <c r="BD43" s="1">
        <v>4</v>
      </c>
      <c r="BE43" s="1">
        <v>5</v>
      </c>
      <c r="BF43" s="1"/>
      <c r="BG43" s="1">
        <v>1</v>
      </c>
      <c r="BH43" s="1">
        <v>2</v>
      </c>
      <c r="BI43" s="1">
        <v>3</v>
      </c>
      <c r="BJ43" s="1">
        <v>1</v>
      </c>
      <c r="BK43" s="1">
        <v>2</v>
      </c>
      <c r="BL43" s="1"/>
      <c r="BM43" s="1">
        <v>3</v>
      </c>
      <c r="BN43" s="1">
        <v>2</v>
      </c>
      <c r="BO43" s="1">
        <v>4</v>
      </c>
      <c r="BP43" s="1">
        <v>1</v>
      </c>
      <c r="BQ43" s="1">
        <v>4</v>
      </c>
      <c r="BR43" s="1"/>
      <c r="BS43" s="1">
        <v>4</v>
      </c>
      <c r="BT43" s="1">
        <v>5</v>
      </c>
      <c r="BU43" s="1">
        <v>3</v>
      </c>
      <c r="BV43" s="1">
        <v>3</v>
      </c>
      <c r="BW43" s="1">
        <v>3</v>
      </c>
      <c r="BX43" s="1"/>
      <c r="BY43" s="1"/>
      <c r="BZ43" s="1"/>
      <c r="CA43" s="1"/>
      <c r="CB43" s="1"/>
      <c r="CC43" s="1"/>
      <c r="CD43" s="1"/>
      <c r="CE43" s="1">
        <v>3</v>
      </c>
      <c r="CF43" s="1">
        <v>4</v>
      </c>
      <c r="CG43" s="1">
        <v>1</v>
      </c>
      <c r="CH43" s="1">
        <v>2</v>
      </c>
      <c r="CI43" s="1">
        <v>5</v>
      </c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>
        <v>3</v>
      </c>
      <c r="FR43" s="1">
        <v>3</v>
      </c>
      <c r="FS43" s="1">
        <v>3</v>
      </c>
      <c r="FT43" s="1">
        <v>3</v>
      </c>
      <c r="FU43" s="1">
        <v>5</v>
      </c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</row>
    <row r="44" spans="1:213" x14ac:dyDescent="0.25">
      <c r="A44" t="s">
        <v>212</v>
      </c>
      <c r="B44" t="s">
        <v>209</v>
      </c>
      <c r="C44">
        <v>420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>
        <v>3</v>
      </c>
      <c r="AD44" s="1">
        <v>2</v>
      </c>
      <c r="AE44" s="1">
        <v>2</v>
      </c>
      <c r="AF44" s="1">
        <v>1</v>
      </c>
      <c r="AG44" s="1">
        <v>3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>
        <v>2</v>
      </c>
      <c r="AV44" s="1">
        <v>2</v>
      </c>
      <c r="AW44" s="1">
        <v>2</v>
      </c>
      <c r="AX44" s="1">
        <v>1</v>
      </c>
      <c r="AY44" s="1">
        <v>2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>
        <v>2</v>
      </c>
      <c r="CX44" s="1">
        <v>2</v>
      </c>
      <c r="CY44" s="1">
        <v>2</v>
      </c>
      <c r="CZ44" s="1">
        <v>3</v>
      </c>
      <c r="DA44" s="1">
        <v>4</v>
      </c>
      <c r="DB44" s="1"/>
      <c r="DC44" s="1">
        <v>3</v>
      </c>
      <c r="DD44" s="1">
        <v>4</v>
      </c>
      <c r="DE44" s="1">
        <v>3</v>
      </c>
      <c r="DF44" s="1">
        <v>1</v>
      </c>
      <c r="DG44" s="1">
        <v>2</v>
      </c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>
        <v>2</v>
      </c>
      <c r="EZ44" s="1">
        <v>1</v>
      </c>
      <c r="FA44" s="1">
        <v>3</v>
      </c>
      <c r="FB44" s="1">
        <v>3</v>
      </c>
      <c r="FC44" s="1">
        <v>2</v>
      </c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>
        <v>1</v>
      </c>
      <c r="GD44" s="1">
        <v>1</v>
      </c>
      <c r="GE44" s="1">
        <v>1</v>
      </c>
      <c r="GF44" s="1">
        <v>1</v>
      </c>
      <c r="GG44" s="1">
        <v>2</v>
      </c>
      <c r="GH44" s="1"/>
      <c r="GI44" s="1">
        <v>3</v>
      </c>
      <c r="GJ44" s="1">
        <v>3</v>
      </c>
      <c r="GK44" s="1">
        <v>4</v>
      </c>
      <c r="GL44" s="1">
        <v>2</v>
      </c>
      <c r="GM44" s="1">
        <v>1</v>
      </c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</row>
    <row r="45" spans="1:213" x14ac:dyDescent="0.25">
      <c r="A45" t="s">
        <v>213</v>
      </c>
      <c r="B45" t="s">
        <v>209</v>
      </c>
      <c r="C45">
        <v>600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/>
      <c r="W45" s="1"/>
      <c r="X45" s="1"/>
      <c r="Y45" s="1"/>
      <c r="Z45" s="1"/>
      <c r="AA45" s="1"/>
      <c r="AB45" s="1"/>
      <c r="AC45" s="1">
        <v>1</v>
      </c>
      <c r="AD45" s="1">
        <v>1</v>
      </c>
      <c r="AE45" s="1">
        <v>1</v>
      </c>
      <c r="AF45" s="1">
        <v>1</v>
      </c>
      <c r="AG45" s="1">
        <v>2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>
        <v>1</v>
      </c>
      <c r="DD45" s="1">
        <v>3</v>
      </c>
      <c r="DE45" s="1">
        <v>1</v>
      </c>
      <c r="DF45" s="1">
        <v>2</v>
      </c>
      <c r="DG45" s="1">
        <v>3</v>
      </c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>
        <v>1</v>
      </c>
      <c r="EH45" s="1">
        <v>1</v>
      </c>
      <c r="EI45" s="1">
        <v>1</v>
      </c>
      <c r="EJ45" s="1">
        <v>1</v>
      </c>
      <c r="EK45" s="1">
        <v>2</v>
      </c>
      <c r="EL45" s="1"/>
      <c r="EM45" s="1"/>
      <c r="EN45" s="1"/>
      <c r="EO45" s="1"/>
      <c r="EP45" s="1"/>
      <c r="EQ45" s="1"/>
      <c r="ER45" s="1"/>
      <c r="ES45" s="1">
        <v>1</v>
      </c>
      <c r="ET45" s="1">
        <v>1</v>
      </c>
      <c r="EU45" s="1">
        <v>1</v>
      </c>
      <c r="EV45" s="1">
        <v>1</v>
      </c>
      <c r="EW45" s="1">
        <v>3</v>
      </c>
      <c r="EX45" s="1"/>
      <c r="EY45" s="1"/>
      <c r="EZ45" s="1"/>
      <c r="FA45" s="1"/>
      <c r="FB45" s="1"/>
      <c r="FC45" s="1"/>
      <c r="FD45" s="1"/>
      <c r="FE45" s="1">
        <v>1</v>
      </c>
      <c r="FF45" s="1">
        <v>1</v>
      </c>
      <c r="FG45" s="1">
        <v>1</v>
      </c>
      <c r="FH45" s="1">
        <v>1</v>
      </c>
      <c r="FI45" s="1">
        <v>1</v>
      </c>
      <c r="FJ45" s="1"/>
      <c r="FK45" s="1">
        <v>1</v>
      </c>
      <c r="FL45" s="1">
        <v>1</v>
      </c>
      <c r="FM45" s="1">
        <v>1</v>
      </c>
      <c r="FN45" s="1">
        <v>1</v>
      </c>
      <c r="FO45" s="1">
        <v>1</v>
      </c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</row>
    <row r="46" spans="1:213" x14ac:dyDescent="0.25">
      <c r="A46" t="s">
        <v>214</v>
      </c>
      <c r="B46" t="s">
        <v>209</v>
      </c>
      <c r="C46">
        <v>642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>
        <v>3</v>
      </c>
      <c r="R46" s="1">
        <v>4</v>
      </c>
      <c r="S46" s="1">
        <v>2</v>
      </c>
      <c r="T46" s="1">
        <v>2</v>
      </c>
      <c r="U46" s="1">
        <v>2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>
        <v>2</v>
      </c>
      <c r="CX46" s="1">
        <v>2</v>
      </c>
      <c r="CY46" s="1">
        <v>1</v>
      </c>
      <c r="CZ46" s="1">
        <v>4</v>
      </c>
      <c r="DA46" s="1">
        <v>4</v>
      </c>
      <c r="DB46" s="1"/>
      <c r="DC46" s="1"/>
      <c r="DD46" s="1"/>
      <c r="DE46" s="1"/>
      <c r="DF46" s="1"/>
      <c r="DG46" s="1"/>
      <c r="DH46" s="1"/>
      <c r="DI46" s="1">
        <v>1</v>
      </c>
      <c r="DJ46" s="1">
        <v>2</v>
      </c>
      <c r="DK46" s="1">
        <v>3</v>
      </c>
      <c r="DL46" s="1">
        <v>1</v>
      </c>
      <c r="DM46" s="1">
        <v>5</v>
      </c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>
        <v>1</v>
      </c>
      <c r="FX46" s="1">
        <v>1</v>
      </c>
      <c r="FY46" s="1">
        <v>2</v>
      </c>
      <c r="FZ46" s="1">
        <v>1</v>
      </c>
      <c r="GA46" s="1">
        <v>2</v>
      </c>
      <c r="GB46" s="1"/>
      <c r="GC46" s="1"/>
      <c r="GD46" s="1"/>
      <c r="GE46" s="1"/>
      <c r="GF46" s="1"/>
      <c r="GG46" s="1"/>
      <c r="GH46" s="1"/>
      <c r="GI46" s="1">
        <v>4</v>
      </c>
      <c r="GJ46" s="1">
        <v>3</v>
      </c>
      <c r="GK46" s="1">
        <v>3</v>
      </c>
      <c r="GL46" s="1">
        <v>3</v>
      </c>
      <c r="GM46" s="1">
        <v>1</v>
      </c>
      <c r="GN46" s="1"/>
      <c r="GO46" s="1">
        <v>3</v>
      </c>
      <c r="GP46" s="1">
        <v>4</v>
      </c>
      <c r="GQ46" s="1">
        <v>3</v>
      </c>
      <c r="GR46" s="1">
        <v>3</v>
      </c>
      <c r="GS46" s="1">
        <v>3</v>
      </c>
      <c r="GT46" s="1"/>
      <c r="GU46" s="1"/>
      <c r="GV46" s="1"/>
      <c r="GW46" s="1"/>
      <c r="GX46" s="1"/>
      <c r="GY46" s="1"/>
      <c r="GZ46" s="1"/>
      <c r="HA46" s="1">
        <v>3</v>
      </c>
      <c r="HB46" s="1">
        <v>2</v>
      </c>
      <c r="HC46" s="1">
        <v>3</v>
      </c>
      <c r="HD46" s="1">
        <v>3</v>
      </c>
      <c r="HE46" s="1">
        <v>4</v>
      </c>
    </row>
    <row r="47" spans="1:213" x14ac:dyDescent="0.25">
      <c r="A47" t="s">
        <v>215</v>
      </c>
      <c r="B47" t="s">
        <v>209</v>
      </c>
      <c r="C47">
        <v>691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>
        <v>5</v>
      </c>
      <c r="X47" s="1">
        <v>5</v>
      </c>
      <c r="Y47" s="1">
        <v>5</v>
      </c>
      <c r="Z47" s="1">
        <v>5</v>
      </c>
      <c r="AA47" s="1">
        <v>5</v>
      </c>
      <c r="AB47" s="1"/>
      <c r="AC47" s="1"/>
      <c r="AD47" s="1"/>
      <c r="AE47" s="1"/>
      <c r="AF47" s="1"/>
      <c r="AG47" s="1"/>
      <c r="AH47" s="1"/>
      <c r="AI47" s="1">
        <v>5</v>
      </c>
      <c r="AJ47" s="1">
        <v>4</v>
      </c>
      <c r="AK47" s="1">
        <v>2</v>
      </c>
      <c r="AL47" s="1">
        <v>1</v>
      </c>
      <c r="AM47" s="1">
        <v>1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>
        <v>4</v>
      </c>
      <c r="CF47" s="1">
        <v>3</v>
      </c>
      <c r="CG47" s="1">
        <v>4</v>
      </c>
      <c r="CH47" s="1">
        <v>2</v>
      </c>
      <c r="CI47" s="1">
        <v>3</v>
      </c>
      <c r="CJ47" s="1"/>
      <c r="CK47" s="1"/>
      <c r="CL47" s="1"/>
      <c r="CM47" s="1"/>
      <c r="CN47" s="1"/>
      <c r="CO47" s="1"/>
      <c r="CP47" s="1"/>
      <c r="CQ47" s="1">
        <v>5</v>
      </c>
      <c r="CR47" s="1">
        <v>4</v>
      </c>
      <c r="CS47" s="1">
        <v>5</v>
      </c>
      <c r="CT47" s="1">
        <v>5</v>
      </c>
      <c r="CU47" s="1">
        <v>2</v>
      </c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>
        <v>4</v>
      </c>
      <c r="EN47" s="1">
        <v>1</v>
      </c>
      <c r="EO47" s="1">
        <v>3</v>
      </c>
      <c r="EP47" s="1">
        <v>2</v>
      </c>
      <c r="EQ47" s="1">
        <v>5</v>
      </c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>
        <v>2</v>
      </c>
      <c r="FR47" s="1">
        <v>3</v>
      </c>
      <c r="FS47" s="1">
        <v>3</v>
      </c>
      <c r="FT47" s="1">
        <v>3</v>
      </c>
      <c r="FU47" s="1">
        <v>3</v>
      </c>
      <c r="FV47" s="1"/>
      <c r="FW47" s="1"/>
      <c r="FX47" s="1"/>
      <c r="FY47" s="1"/>
      <c r="FZ47" s="1"/>
      <c r="GA47" s="1"/>
      <c r="GB47" s="1"/>
      <c r="GC47" s="1">
        <v>5</v>
      </c>
      <c r="GD47" s="1">
        <v>3</v>
      </c>
      <c r="GE47" s="1">
        <v>5</v>
      </c>
      <c r="GF47" s="1">
        <v>4</v>
      </c>
      <c r="GG47" s="1">
        <v>2</v>
      </c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</row>
    <row r="48" spans="1:213" x14ac:dyDescent="0.25">
      <c r="A48" t="s">
        <v>216</v>
      </c>
      <c r="B48" t="s">
        <v>209</v>
      </c>
      <c r="C48">
        <v>742</v>
      </c>
      <c r="E48" s="1"/>
      <c r="F48" s="1"/>
      <c r="G48" s="1"/>
      <c r="H48" s="1"/>
      <c r="I48" s="1"/>
      <c r="J48" s="1"/>
      <c r="K48" s="1">
        <v>2</v>
      </c>
      <c r="L48" s="1">
        <v>1</v>
      </c>
      <c r="M48" s="1">
        <v>1</v>
      </c>
      <c r="N48" s="1">
        <v>4</v>
      </c>
      <c r="O48" s="1">
        <v>2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>
        <v>1</v>
      </c>
      <c r="AP48" s="1">
        <v>5</v>
      </c>
      <c r="AQ48" s="1">
        <v>1</v>
      </c>
      <c r="AR48" s="1">
        <v>1</v>
      </c>
      <c r="AS48" s="1">
        <v>1</v>
      </c>
      <c r="AT48" s="1"/>
      <c r="AU48" s="1">
        <v>2</v>
      </c>
      <c r="AV48" s="1">
        <v>2</v>
      </c>
      <c r="AW48" s="1">
        <v>2</v>
      </c>
      <c r="AX48" s="1">
        <v>1</v>
      </c>
      <c r="AY48" s="1">
        <v>1</v>
      </c>
      <c r="AZ48" s="1"/>
      <c r="BA48" s="1"/>
      <c r="BB48" s="1"/>
      <c r="BC48" s="1"/>
      <c r="BD48" s="1"/>
      <c r="BE48" s="1"/>
      <c r="BF48" s="1"/>
      <c r="BG48" s="1">
        <v>1</v>
      </c>
      <c r="BH48" s="1">
        <v>1</v>
      </c>
      <c r="BI48" s="1">
        <v>1</v>
      </c>
      <c r="BJ48" s="1">
        <v>1</v>
      </c>
      <c r="BK48" s="1">
        <v>2</v>
      </c>
      <c r="BL48" s="1"/>
      <c r="BM48" s="1"/>
      <c r="BN48" s="1"/>
      <c r="BO48" s="1"/>
      <c r="BP48" s="1"/>
      <c r="BQ48" s="1"/>
      <c r="BR48" s="1"/>
      <c r="BS48" s="1">
        <v>1</v>
      </c>
      <c r="BT48" s="1">
        <v>1</v>
      </c>
      <c r="BU48" s="1">
        <v>1</v>
      </c>
      <c r="BV48" s="1">
        <v>1</v>
      </c>
      <c r="BW48" s="1">
        <v>4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>
        <v>1</v>
      </c>
      <c r="CX48" s="1">
        <v>1</v>
      </c>
      <c r="CY48" s="1">
        <v>1</v>
      </c>
      <c r="CZ48" s="1">
        <v>1</v>
      </c>
      <c r="DA48" s="1">
        <v>4</v>
      </c>
      <c r="DB48" s="1"/>
      <c r="DC48" s="1">
        <v>3</v>
      </c>
      <c r="DD48" s="1">
        <v>1</v>
      </c>
      <c r="DE48" s="1">
        <v>4</v>
      </c>
      <c r="DF48" s="1">
        <v>2</v>
      </c>
      <c r="DG48" s="1">
        <v>2</v>
      </c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</row>
    <row r="49" spans="1:213" x14ac:dyDescent="0.25">
      <c r="A49" t="s">
        <v>217</v>
      </c>
      <c r="B49" t="s">
        <v>209</v>
      </c>
      <c r="C49">
        <v>811</v>
      </c>
      <c r="E49" s="1">
        <v>1</v>
      </c>
      <c r="F49" s="1">
        <v>1</v>
      </c>
      <c r="G49" s="1">
        <v>1</v>
      </c>
      <c r="H49" s="1">
        <v>4</v>
      </c>
      <c r="I49" s="1">
        <v>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>
        <v>4</v>
      </c>
      <c r="AD49" s="1">
        <v>4</v>
      </c>
      <c r="AE49" s="1">
        <v>3</v>
      </c>
      <c r="AF49" s="1">
        <v>1</v>
      </c>
      <c r="AG49" s="1">
        <v>5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>
        <v>1</v>
      </c>
      <c r="BZ49" s="1">
        <v>1</v>
      </c>
      <c r="CA49" s="1">
        <v>1</v>
      </c>
      <c r="CB49" s="1">
        <v>5</v>
      </c>
      <c r="CC49" s="1">
        <v>5</v>
      </c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>
        <v>2</v>
      </c>
      <c r="DP49" s="1">
        <v>1</v>
      </c>
      <c r="DQ49" s="1">
        <v>3</v>
      </c>
      <c r="DR49" s="1">
        <v>1</v>
      </c>
      <c r="DS49" s="1">
        <v>3</v>
      </c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>
        <v>2</v>
      </c>
      <c r="FL49" s="1">
        <v>1</v>
      </c>
      <c r="FM49" s="1">
        <v>2</v>
      </c>
      <c r="FN49" s="1">
        <v>1</v>
      </c>
      <c r="FO49" s="1">
        <v>4</v>
      </c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>
        <v>1</v>
      </c>
      <c r="GP49" s="1">
        <v>1</v>
      </c>
      <c r="GQ49" s="1">
        <v>1</v>
      </c>
      <c r="GR49" s="1">
        <v>1</v>
      </c>
      <c r="GS49" s="1">
        <v>3</v>
      </c>
      <c r="GT49" s="1"/>
      <c r="GU49" s="1">
        <v>4</v>
      </c>
      <c r="GV49" s="1">
        <v>1</v>
      </c>
      <c r="GW49" s="1">
        <v>4</v>
      </c>
      <c r="GX49" s="1">
        <v>2</v>
      </c>
      <c r="GY49" s="1">
        <v>5</v>
      </c>
      <c r="GZ49" s="1"/>
      <c r="HA49" s="1"/>
      <c r="HB49" s="1"/>
      <c r="HC49" s="1"/>
      <c r="HD49" s="1"/>
      <c r="HE49" s="1"/>
    </row>
    <row r="50" spans="1:213" x14ac:dyDescent="0.25">
      <c r="A50" t="s">
        <v>218</v>
      </c>
      <c r="B50" t="s">
        <v>209</v>
      </c>
      <c r="C50">
        <v>621</v>
      </c>
      <c r="E50" s="1">
        <v>3</v>
      </c>
      <c r="F50" s="1">
        <v>3</v>
      </c>
      <c r="G50" s="1">
        <v>3</v>
      </c>
      <c r="H50" s="1">
        <v>2</v>
      </c>
      <c r="I50" s="1">
        <v>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>
        <v>3</v>
      </c>
      <c r="BN50" s="1">
        <v>2</v>
      </c>
      <c r="BO50" s="1">
        <v>2</v>
      </c>
      <c r="BP50" s="1">
        <v>1</v>
      </c>
      <c r="BQ50" s="1">
        <v>2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>
        <v>3</v>
      </c>
      <c r="CF50" s="1">
        <v>1</v>
      </c>
      <c r="CG50" s="1">
        <v>4</v>
      </c>
      <c r="CH50" s="1">
        <v>3</v>
      </c>
      <c r="CI50" s="1">
        <v>4</v>
      </c>
      <c r="CJ50" s="1"/>
      <c r="CK50" s="1"/>
      <c r="CL50" s="1"/>
      <c r="CM50" s="1"/>
      <c r="CN50" s="1"/>
      <c r="CO50" s="1"/>
      <c r="CP50" s="1"/>
      <c r="CQ50" s="1">
        <v>4</v>
      </c>
      <c r="CR50" s="1">
        <v>5</v>
      </c>
      <c r="CS50" s="1">
        <v>4</v>
      </c>
      <c r="CT50" s="1">
        <v>4</v>
      </c>
      <c r="CU50" s="1">
        <v>1</v>
      </c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>
        <v>4</v>
      </c>
      <c r="DV50" s="1">
        <v>4</v>
      </c>
      <c r="DW50" s="1">
        <v>2</v>
      </c>
      <c r="DX50" s="1">
        <v>3</v>
      </c>
      <c r="DY50" s="1">
        <v>2</v>
      </c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>
        <v>3</v>
      </c>
      <c r="ET50" s="1">
        <v>2</v>
      </c>
      <c r="EU50" s="1">
        <v>3</v>
      </c>
      <c r="EV50" s="1">
        <v>3</v>
      </c>
      <c r="EW50" s="1">
        <v>4</v>
      </c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>
        <v>1</v>
      </c>
      <c r="GD50" s="1">
        <v>3</v>
      </c>
      <c r="GE50" s="1">
        <v>3</v>
      </c>
      <c r="GF50" s="1">
        <v>3</v>
      </c>
      <c r="GG50" s="1">
        <v>1</v>
      </c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</row>
    <row r="51" spans="1:213" x14ac:dyDescent="0.25">
      <c r="A51" t="s">
        <v>219</v>
      </c>
      <c r="B51" t="s">
        <v>209</v>
      </c>
      <c r="C51">
        <v>862</v>
      </c>
      <c r="E51" s="1">
        <v>3</v>
      </c>
      <c r="F51" s="1">
        <v>1</v>
      </c>
      <c r="G51" s="1">
        <v>1</v>
      </c>
      <c r="H51" s="1">
        <v>1</v>
      </c>
      <c r="I51" s="1">
        <v>1</v>
      </c>
      <c r="J51" s="1"/>
      <c r="K51" s="1">
        <v>4</v>
      </c>
      <c r="L51" s="1">
        <v>1</v>
      </c>
      <c r="M51" s="1">
        <v>1</v>
      </c>
      <c r="N51" s="1">
        <v>5</v>
      </c>
      <c r="O51" s="1">
        <v>1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>
        <v>1</v>
      </c>
      <c r="AJ51" s="1">
        <v>1</v>
      </c>
      <c r="AK51" s="1">
        <v>3</v>
      </c>
      <c r="AL51" s="1">
        <v>4</v>
      </c>
      <c r="AM51" s="1">
        <v>3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>
        <v>1</v>
      </c>
      <c r="CL51" s="1">
        <v>2</v>
      </c>
      <c r="CM51" s="1">
        <v>1</v>
      </c>
      <c r="CN51" s="1">
        <v>2</v>
      </c>
      <c r="CO51" s="1">
        <v>4</v>
      </c>
      <c r="CP51" s="1"/>
      <c r="CQ51" s="1">
        <v>2</v>
      </c>
      <c r="CR51" s="1">
        <v>2</v>
      </c>
      <c r="CS51" s="1">
        <v>3</v>
      </c>
      <c r="CT51" s="1">
        <v>3</v>
      </c>
      <c r="CU51" s="1">
        <v>3</v>
      </c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>
        <v>1</v>
      </c>
      <c r="DP51" s="1">
        <v>1</v>
      </c>
      <c r="DQ51" s="1">
        <v>1</v>
      </c>
      <c r="DR51" s="1">
        <v>2</v>
      </c>
      <c r="DS51" s="1">
        <v>3</v>
      </c>
      <c r="DT51" s="1"/>
      <c r="DU51" s="1">
        <v>2</v>
      </c>
      <c r="DV51" s="1">
        <v>2</v>
      </c>
      <c r="DW51" s="1">
        <v>2</v>
      </c>
      <c r="DX51" s="1">
        <v>1</v>
      </c>
      <c r="DY51" s="1">
        <v>2</v>
      </c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</row>
    <row r="52" spans="1:213" x14ac:dyDescent="0.25">
      <c r="A52" t="s">
        <v>220</v>
      </c>
      <c r="B52" t="s">
        <v>209</v>
      </c>
      <c r="C52">
        <v>868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>
        <v>3</v>
      </c>
      <c r="X52" s="1">
        <v>3</v>
      </c>
      <c r="Y52" s="1">
        <v>4</v>
      </c>
      <c r="Z52" s="1">
        <v>4</v>
      </c>
      <c r="AA52" s="1">
        <v>4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>
        <v>1</v>
      </c>
      <c r="BZ52" s="1">
        <v>1</v>
      </c>
      <c r="CA52" s="1">
        <v>2</v>
      </c>
      <c r="CB52" s="1">
        <v>1</v>
      </c>
      <c r="CC52" s="1">
        <v>1</v>
      </c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>
        <v>3</v>
      </c>
      <c r="EB52" s="1">
        <v>1</v>
      </c>
      <c r="EC52" s="1">
        <v>2</v>
      </c>
      <c r="ED52" s="1">
        <v>1</v>
      </c>
      <c r="EE52" s="1">
        <v>4</v>
      </c>
      <c r="EF52" s="1"/>
      <c r="EG52" s="1"/>
      <c r="EH52" s="1"/>
      <c r="EI52" s="1"/>
      <c r="EJ52" s="1"/>
      <c r="EK52" s="1"/>
      <c r="EL52" s="1"/>
      <c r="EM52" s="1">
        <v>2</v>
      </c>
      <c r="EN52" s="1">
        <v>2</v>
      </c>
      <c r="EO52" s="1">
        <v>2</v>
      </c>
      <c r="EP52" s="1">
        <v>1</v>
      </c>
      <c r="EQ52" s="1">
        <v>3</v>
      </c>
      <c r="ER52" s="1"/>
      <c r="ES52" s="1"/>
      <c r="ET52" s="1"/>
      <c r="EU52" s="1"/>
      <c r="EV52" s="1"/>
      <c r="EW52" s="1"/>
      <c r="EX52" s="1"/>
      <c r="EY52" s="1">
        <v>4</v>
      </c>
      <c r="EZ52" s="1">
        <v>1</v>
      </c>
      <c r="FA52" s="1">
        <v>4</v>
      </c>
      <c r="FB52" s="1">
        <v>3</v>
      </c>
      <c r="FC52" s="1">
        <v>1</v>
      </c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>
        <v>4</v>
      </c>
      <c r="GD52" s="1">
        <v>1</v>
      </c>
      <c r="GE52" s="1">
        <v>4</v>
      </c>
      <c r="GF52" s="1">
        <v>2</v>
      </c>
      <c r="GG52" s="1">
        <v>2</v>
      </c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>
        <v>4</v>
      </c>
      <c r="GV52" s="1">
        <v>4</v>
      </c>
      <c r="GW52" s="1">
        <v>4</v>
      </c>
      <c r="GX52" s="1">
        <v>4</v>
      </c>
      <c r="GY52" s="1">
        <v>3</v>
      </c>
      <c r="GZ52" s="1"/>
      <c r="HA52" s="1"/>
      <c r="HB52" s="1"/>
      <c r="HC52" s="1"/>
      <c r="HD52" s="1"/>
      <c r="HE52" s="1"/>
    </row>
    <row r="53" spans="1:213" x14ac:dyDescent="0.25">
      <c r="A53" t="s">
        <v>221</v>
      </c>
      <c r="B53" t="s">
        <v>209</v>
      </c>
      <c r="C53">
        <v>425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>
        <v>4</v>
      </c>
      <c r="BN53" s="1">
        <v>2</v>
      </c>
      <c r="BO53" s="1">
        <v>4</v>
      </c>
      <c r="BP53" s="1">
        <v>1</v>
      </c>
      <c r="BQ53" s="1">
        <v>3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>
        <v>4</v>
      </c>
      <c r="CF53" s="1">
        <v>4</v>
      </c>
      <c r="CG53" s="1">
        <v>5</v>
      </c>
      <c r="CH53" s="1">
        <v>2</v>
      </c>
      <c r="CI53" s="1">
        <v>1</v>
      </c>
      <c r="CJ53" s="1"/>
      <c r="CK53" s="1">
        <v>3</v>
      </c>
      <c r="CL53" s="1">
        <v>3</v>
      </c>
      <c r="CM53" s="1">
        <v>4</v>
      </c>
      <c r="CN53" s="1">
        <v>3</v>
      </c>
      <c r="CO53" s="1">
        <v>3</v>
      </c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>
        <v>3</v>
      </c>
      <c r="DD53" s="1">
        <v>4</v>
      </c>
      <c r="DE53" s="1">
        <v>4</v>
      </c>
      <c r="DF53" s="1">
        <v>3</v>
      </c>
      <c r="DG53" s="1">
        <v>4</v>
      </c>
      <c r="DH53" s="1"/>
      <c r="DI53" s="1"/>
      <c r="DJ53" s="1"/>
      <c r="DK53" s="1"/>
      <c r="DL53" s="1"/>
      <c r="DM53" s="1"/>
      <c r="DN53" s="1"/>
      <c r="DO53" s="1">
        <v>4</v>
      </c>
      <c r="DP53" s="1">
        <v>1</v>
      </c>
      <c r="DQ53" s="1">
        <v>1</v>
      </c>
      <c r="DR53" s="1">
        <v>1</v>
      </c>
      <c r="DS53" s="1">
        <v>1</v>
      </c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>
        <v>3</v>
      </c>
      <c r="FL53" s="1">
        <v>2</v>
      </c>
      <c r="FM53" s="1">
        <v>4</v>
      </c>
      <c r="FN53" s="1">
        <v>4</v>
      </c>
      <c r="FO53" s="1">
        <v>1</v>
      </c>
      <c r="FP53" s="1"/>
      <c r="FQ53" s="1">
        <v>4</v>
      </c>
      <c r="FR53" s="1">
        <v>3</v>
      </c>
      <c r="FS53" s="1">
        <v>4</v>
      </c>
      <c r="FT53" s="1">
        <v>4</v>
      </c>
      <c r="FU53" s="1">
        <v>3</v>
      </c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</row>
    <row r="54" spans="1:213" x14ac:dyDescent="0.25">
      <c r="A54" t="s">
        <v>222</v>
      </c>
      <c r="B54" t="s">
        <v>209</v>
      </c>
      <c r="C54">
        <v>1090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>
        <v>2</v>
      </c>
      <c r="BB54" s="1">
        <v>1</v>
      </c>
      <c r="BC54" s="1">
        <v>4</v>
      </c>
      <c r="BD54" s="1">
        <v>4</v>
      </c>
      <c r="BE54" s="1">
        <v>5</v>
      </c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>
        <v>2</v>
      </c>
      <c r="CL54" s="1">
        <v>3</v>
      </c>
      <c r="CM54" s="1">
        <v>3</v>
      </c>
      <c r="CN54" s="1">
        <v>4</v>
      </c>
      <c r="CO54" s="1">
        <v>4</v>
      </c>
      <c r="CP54" s="1"/>
      <c r="CQ54" s="1">
        <v>1</v>
      </c>
      <c r="CR54" s="1">
        <v>2</v>
      </c>
      <c r="CS54" s="1">
        <v>3</v>
      </c>
      <c r="CT54" s="1">
        <v>4</v>
      </c>
      <c r="CU54" s="1">
        <v>2</v>
      </c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>
        <v>2</v>
      </c>
      <c r="DV54" s="1">
        <v>4</v>
      </c>
      <c r="DW54" s="1">
        <v>3</v>
      </c>
      <c r="DX54" s="1">
        <v>3</v>
      </c>
      <c r="DY54" s="1">
        <v>2</v>
      </c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>
        <v>3</v>
      </c>
      <c r="EN54" s="1">
        <v>2</v>
      </c>
      <c r="EO54" s="1">
        <v>3</v>
      </c>
      <c r="EP54" s="1">
        <v>1</v>
      </c>
      <c r="EQ54" s="1">
        <v>4</v>
      </c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>
        <v>2</v>
      </c>
      <c r="FF54" s="1">
        <v>1</v>
      </c>
      <c r="FG54" s="1">
        <v>2</v>
      </c>
      <c r="FH54" s="1">
        <v>3</v>
      </c>
      <c r="FI54" s="1">
        <v>2</v>
      </c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>
        <v>2</v>
      </c>
      <c r="HB54" s="1">
        <v>1</v>
      </c>
      <c r="HC54" s="1">
        <v>1</v>
      </c>
      <c r="HD54" s="1">
        <v>3</v>
      </c>
      <c r="HE54" s="1">
        <v>4</v>
      </c>
    </row>
    <row r="55" spans="1:213" x14ac:dyDescent="0.25">
      <c r="A55" t="s">
        <v>223</v>
      </c>
      <c r="B55" t="s">
        <v>209</v>
      </c>
      <c r="C55">
        <v>1235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>
        <v>1</v>
      </c>
      <c r="AJ55" s="1">
        <v>1</v>
      </c>
      <c r="AK55" s="1">
        <v>4</v>
      </c>
      <c r="AL55" s="1">
        <v>4</v>
      </c>
      <c r="AM55" s="1">
        <v>4</v>
      </c>
      <c r="AN55" s="1"/>
      <c r="AO55" s="1">
        <v>3</v>
      </c>
      <c r="AP55" s="1">
        <v>4</v>
      </c>
      <c r="AQ55" s="1">
        <v>3</v>
      </c>
      <c r="AR55" s="1">
        <v>4</v>
      </c>
      <c r="AS55" s="1">
        <v>4</v>
      </c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>
        <v>2</v>
      </c>
      <c r="BH55" s="1">
        <v>1</v>
      </c>
      <c r="BI55" s="1">
        <v>1</v>
      </c>
      <c r="BJ55" s="1">
        <v>1</v>
      </c>
      <c r="BK55" s="1">
        <v>3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>
        <v>3</v>
      </c>
      <c r="CL55" s="1">
        <v>3</v>
      </c>
      <c r="CM55" s="1">
        <v>3</v>
      </c>
      <c r="CN55" s="1">
        <v>3</v>
      </c>
      <c r="CO55" s="1">
        <v>4</v>
      </c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>
        <v>2</v>
      </c>
      <c r="DV55" s="1">
        <v>2</v>
      </c>
      <c r="DW55" s="1">
        <v>3</v>
      </c>
      <c r="DX55" s="1">
        <v>3</v>
      </c>
      <c r="DY55" s="1">
        <v>3</v>
      </c>
      <c r="DZ55" s="1"/>
      <c r="EA55" s="1">
        <v>5</v>
      </c>
      <c r="EB55" s="1">
        <v>2</v>
      </c>
      <c r="EC55" s="1">
        <v>5</v>
      </c>
      <c r="ED55" s="1">
        <v>2</v>
      </c>
      <c r="EE55" s="1">
        <v>3</v>
      </c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>
        <v>3</v>
      </c>
      <c r="GV55" s="1">
        <v>2</v>
      </c>
      <c r="GW55" s="1">
        <v>3</v>
      </c>
      <c r="GX55" s="1">
        <v>2</v>
      </c>
      <c r="GY55" s="1">
        <v>2</v>
      </c>
      <c r="GZ55" s="1"/>
      <c r="HA55" s="1"/>
      <c r="HB55" s="1"/>
      <c r="HC55" s="1"/>
      <c r="HD55" s="1"/>
      <c r="HE55" s="1"/>
    </row>
    <row r="56" spans="1:213" x14ac:dyDescent="0.25">
      <c r="A56" t="s">
        <v>224</v>
      </c>
      <c r="B56" t="s">
        <v>209</v>
      </c>
      <c r="C56">
        <v>1148</v>
      </c>
      <c r="E56" s="1"/>
      <c r="F56" s="1"/>
      <c r="G56" s="1"/>
      <c r="H56" s="1"/>
      <c r="I56" s="1"/>
      <c r="J56" s="1"/>
      <c r="K56" s="1">
        <v>4</v>
      </c>
      <c r="L56" s="1">
        <v>3</v>
      </c>
      <c r="M56" s="1">
        <v>2</v>
      </c>
      <c r="N56" s="1">
        <v>4</v>
      </c>
      <c r="O56" s="1">
        <v>2</v>
      </c>
      <c r="P56" s="1"/>
      <c r="Q56" s="1"/>
      <c r="R56" s="1"/>
      <c r="S56" s="1"/>
      <c r="T56" s="1"/>
      <c r="U56" s="1"/>
      <c r="V56" s="1"/>
      <c r="W56" s="1">
        <v>3</v>
      </c>
      <c r="X56" s="1">
        <v>3</v>
      </c>
      <c r="Y56" s="1">
        <v>3</v>
      </c>
      <c r="Z56" s="1">
        <v>3</v>
      </c>
      <c r="AA56" s="1">
        <v>4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>
        <v>3</v>
      </c>
      <c r="AP56" s="1">
        <v>3</v>
      </c>
      <c r="AQ56" s="1">
        <v>1</v>
      </c>
      <c r="AR56" s="1">
        <v>1</v>
      </c>
      <c r="AS56" s="1">
        <v>1</v>
      </c>
      <c r="AT56" s="1"/>
      <c r="AU56" s="1"/>
      <c r="AV56" s="1"/>
      <c r="AW56" s="1"/>
      <c r="AX56" s="1"/>
      <c r="AY56" s="1"/>
      <c r="AZ56" s="1"/>
      <c r="BA56" s="1">
        <v>3</v>
      </c>
      <c r="BB56" s="1">
        <v>1</v>
      </c>
      <c r="BC56" s="1">
        <v>3</v>
      </c>
      <c r="BD56" s="1">
        <v>3</v>
      </c>
      <c r="BE56" s="1">
        <v>5</v>
      </c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>
        <v>2</v>
      </c>
      <c r="CL56" s="1">
        <v>3</v>
      </c>
      <c r="CM56" s="1">
        <v>2</v>
      </c>
      <c r="CN56" s="1">
        <v>1</v>
      </c>
      <c r="CO56" s="1">
        <v>3</v>
      </c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>
        <v>1</v>
      </c>
      <c r="DD56" s="1">
        <v>1</v>
      </c>
      <c r="DE56" s="1">
        <v>1</v>
      </c>
      <c r="DF56" s="1">
        <v>2</v>
      </c>
      <c r="DG56" s="1">
        <v>2</v>
      </c>
      <c r="DH56" s="1"/>
      <c r="DI56" s="1">
        <v>1</v>
      </c>
      <c r="DJ56" s="1">
        <v>2</v>
      </c>
      <c r="DK56" s="1">
        <v>3</v>
      </c>
      <c r="DL56" s="1">
        <v>1</v>
      </c>
      <c r="DM56" s="1">
        <v>4</v>
      </c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</row>
    <row r="57" spans="1:213" x14ac:dyDescent="0.25">
      <c r="A57" t="s">
        <v>225</v>
      </c>
      <c r="B57" t="s">
        <v>209</v>
      </c>
      <c r="C57">
        <v>1199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>
        <v>2</v>
      </c>
      <c r="BH57" s="1">
        <v>2</v>
      </c>
      <c r="BI57" s="1">
        <v>2</v>
      </c>
      <c r="BJ57" s="1">
        <v>2</v>
      </c>
      <c r="BK57" s="1">
        <v>4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>
        <v>3</v>
      </c>
      <c r="CX57" s="1">
        <v>1</v>
      </c>
      <c r="CY57" s="1">
        <v>2</v>
      </c>
      <c r="CZ57" s="1">
        <v>3</v>
      </c>
      <c r="DA57" s="1">
        <v>3</v>
      </c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>
        <v>4</v>
      </c>
      <c r="EB57" s="1">
        <v>1</v>
      </c>
      <c r="EC57" s="1">
        <v>4</v>
      </c>
      <c r="ED57" s="1">
        <v>3</v>
      </c>
      <c r="EE57" s="1">
        <v>4</v>
      </c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>
        <v>3</v>
      </c>
      <c r="EZ57" s="1">
        <v>3</v>
      </c>
      <c r="FA57" s="1">
        <v>3</v>
      </c>
      <c r="FB57" s="1">
        <v>2</v>
      </c>
      <c r="FC57" s="1">
        <v>2</v>
      </c>
      <c r="FD57" s="1"/>
      <c r="FE57" s="1">
        <v>4</v>
      </c>
      <c r="FF57" s="1">
        <v>3</v>
      </c>
      <c r="FG57" s="1">
        <v>4</v>
      </c>
      <c r="FH57" s="1">
        <v>3</v>
      </c>
      <c r="FI57" s="1">
        <v>3</v>
      </c>
      <c r="FJ57" s="1"/>
      <c r="FK57" s="1">
        <v>2</v>
      </c>
      <c r="FL57" s="1">
        <v>2</v>
      </c>
      <c r="FM57" s="1">
        <v>2</v>
      </c>
      <c r="FN57" s="1">
        <v>4</v>
      </c>
      <c r="FO57" s="1">
        <v>4</v>
      </c>
      <c r="FP57" s="1"/>
      <c r="FQ57" s="1"/>
      <c r="FR57" s="1"/>
      <c r="FS57" s="1"/>
      <c r="FT57" s="1"/>
      <c r="FU57" s="1"/>
      <c r="FV57" s="1"/>
      <c r="FW57" s="1">
        <v>2</v>
      </c>
      <c r="FX57" s="1">
        <v>2</v>
      </c>
      <c r="FY57" s="1">
        <v>4</v>
      </c>
      <c r="FZ57" s="1">
        <v>2</v>
      </c>
      <c r="GA57" s="1">
        <v>4</v>
      </c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</row>
    <row r="58" spans="1:213" x14ac:dyDescent="0.25">
      <c r="A58" t="s">
        <v>226</v>
      </c>
      <c r="B58" t="s">
        <v>209</v>
      </c>
      <c r="C58">
        <v>1281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>
        <v>5</v>
      </c>
      <c r="BN58" s="1">
        <v>3</v>
      </c>
      <c r="BO58" s="1">
        <v>5</v>
      </c>
      <c r="BP58" s="1">
        <v>5</v>
      </c>
      <c r="BQ58" s="1">
        <v>5</v>
      </c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>
        <v>3</v>
      </c>
      <c r="DJ58" s="1">
        <v>3</v>
      </c>
      <c r="DK58" s="1">
        <v>4</v>
      </c>
      <c r="DL58" s="1">
        <v>2</v>
      </c>
      <c r="DM58" s="1">
        <v>5</v>
      </c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>
        <v>2</v>
      </c>
      <c r="EH58" s="1">
        <v>3</v>
      </c>
      <c r="EI58" s="1">
        <v>2</v>
      </c>
      <c r="EJ58" s="1">
        <v>4</v>
      </c>
      <c r="EK58" s="1">
        <v>2</v>
      </c>
      <c r="EL58" s="1"/>
      <c r="EM58" s="1"/>
      <c r="EN58" s="1"/>
      <c r="EO58" s="1"/>
      <c r="EP58" s="1"/>
      <c r="EQ58" s="1"/>
      <c r="ER58" s="1"/>
      <c r="ES58" s="1">
        <v>4</v>
      </c>
      <c r="ET58" s="1">
        <v>1</v>
      </c>
      <c r="EU58" s="1">
        <v>3</v>
      </c>
      <c r="EV58" s="1">
        <v>4</v>
      </c>
      <c r="EW58" s="1">
        <v>3</v>
      </c>
      <c r="EX58" s="1"/>
      <c r="EY58" s="1">
        <v>4</v>
      </c>
      <c r="EZ58" s="1">
        <v>3</v>
      </c>
      <c r="FA58" s="1">
        <v>3</v>
      </c>
      <c r="FB58" s="1">
        <v>5</v>
      </c>
      <c r="FC58" s="1">
        <v>3</v>
      </c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>
        <v>1</v>
      </c>
      <c r="FX58" s="1">
        <v>1</v>
      </c>
      <c r="FY58" s="1">
        <v>3</v>
      </c>
      <c r="FZ58" s="1">
        <v>1</v>
      </c>
      <c r="GA58" s="1">
        <v>2</v>
      </c>
      <c r="GB58" s="1"/>
      <c r="GC58" s="1"/>
      <c r="GD58" s="1"/>
      <c r="GE58" s="1"/>
      <c r="GF58" s="1"/>
      <c r="GG58" s="1"/>
      <c r="GH58" s="1"/>
      <c r="GI58" s="1">
        <v>5</v>
      </c>
      <c r="GJ58" s="1">
        <v>5</v>
      </c>
      <c r="GK58" s="1">
        <v>4</v>
      </c>
      <c r="GL58" s="1">
        <v>1</v>
      </c>
      <c r="GM58" s="1">
        <v>1</v>
      </c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</row>
    <row r="59" spans="1:213" x14ac:dyDescent="0.25">
      <c r="A59" t="s">
        <v>227</v>
      </c>
      <c r="B59" t="s">
        <v>209</v>
      </c>
      <c r="C59">
        <v>1120</v>
      </c>
      <c r="E59" s="1"/>
      <c r="F59" s="1"/>
      <c r="G59" s="1"/>
      <c r="H59" s="1"/>
      <c r="I59" s="1"/>
      <c r="J59" s="1"/>
      <c r="K59" s="1">
        <v>2</v>
      </c>
      <c r="L59" s="1">
        <v>1</v>
      </c>
      <c r="M59" s="1">
        <v>1</v>
      </c>
      <c r="N59" s="1">
        <v>4</v>
      </c>
      <c r="O59" s="1">
        <v>1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>
        <v>1</v>
      </c>
      <c r="BN59" s="1">
        <v>1</v>
      </c>
      <c r="BO59" s="1">
        <v>1</v>
      </c>
      <c r="BP59" s="1">
        <v>1</v>
      </c>
      <c r="BQ59" s="1">
        <v>3</v>
      </c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>
        <v>1</v>
      </c>
      <c r="CF59" s="1">
        <v>1</v>
      </c>
      <c r="CG59" s="1">
        <v>1</v>
      </c>
      <c r="CH59" s="1">
        <v>3</v>
      </c>
      <c r="CI59" s="1">
        <v>4</v>
      </c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>
        <v>2</v>
      </c>
      <c r="DV59" s="1">
        <v>2</v>
      </c>
      <c r="DW59" s="1">
        <v>4</v>
      </c>
      <c r="DX59" s="1">
        <v>1</v>
      </c>
      <c r="DY59" s="1">
        <v>3</v>
      </c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>
        <v>3</v>
      </c>
      <c r="FL59" s="1">
        <v>3</v>
      </c>
      <c r="FM59" s="1">
        <v>1</v>
      </c>
      <c r="FN59" s="1">
        <v>2</v>
      </c>
      <c r="FO59" s="1">
        <v>2</v>
      </c>
      <c r="FP59" s="1"/>
      <c r="FQ59" s="1">
        <v>3</v>
      </c>
      <c r="FR59" s="1">
        <v>2</v>
      </c>
      <c r="FS59" s="1">
        <v>2</v>
      </c>
      <c r="FT59" s="1">
        <v>2</v>
      </c>
      <c r="FU59" s="1">
        <v>3</v>
      </c>
      <c r="FV59" s="1"/>
      <c r="FW59" s="1">
        <v>3</v>
      </c>
      <c r="FX59" s="1">
        <v>1</v>
      </c>
      <c r="FY59" s="1">
        <v>3</v>
      </c>
      <c r="FZ59" s="1">
        <v>1</v>
      </c>
      <c r="GA59" s="1">
        <v>3</v>
      </c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</row>
    <row r="60" spans="1:213" x14ac:dyDescent="0.25">
      <c r="A60" t="s">
        <v>228</v>
      </c>
      <c r="B60" t="s">
        <v>209</v>
      </c>
      <c r="C60">
        <v>1215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>
        <v>3</v>
      </c>
      <c r="R60" s="1">
        <v>3</v>
      </c>
      <c r="S60" s="1">
        <v>3</v>
      </c>
      <c r="T60" s="1">
        <v>2</v>
      </c>
      <c r="U60" s="1">
        <v>2</v>
      </c>
      <c r="V60" s="1"/>
      <c r="W60" s="1"/>
      <c r="X60" s="1"/>
      <c r="Y60" s="1"/>
      <c r="Z60" s="1"/>
      <c r="AA60" s="1"/>
      <c r="AB60" s="1"/>
      <c r="AC60" s="1">
        <v>2</v>
      </c>
      <c r="AD60" s="1">
        <v>2</v>
      </c>
      <c r="AE60" s="1">
        <v>3</v>
      </c>
      <c r="AF60" s="1">
        <v>1</v>
      </c>
      <c r="AG60" s="1">
        <v>3</v>
      </c>
      <c r="AH60" s="1"/>
      <c r="AI60" s="1">
        <v>1</v>
      </c>
      <c r="AJ60" s="1">
        <v>1</v>
      </c>
      <c r="AK60" s="1">
        <v>2</v>
      </c>
      <c r="AL60" s="1">
        <v>3</v>
      </c>
      <c r="AM60" s="1">
        <v>3</v>
      </c>
      <c r="AN60" s="1"/>
      <c r="AO60" s="1"/>
      <c r="AP60" s="1"/>
      <c r="AQ60" s="1"/>
      <c r="AR60" s="1"/>
      <c r="AS60" s="1"/>
      <c r="AT60" s="1"/>
      <c r="AU60" s="1">
        <v>3</v>
      </c>
      <c r="AV60" s="1">
        <v>2</v>
      </c>
      <c r="AW60" s="1">
        <v>3</v>
      </c>
      <c r="AX60" s="1">
        <v>1</v>
      </c>
      <c r="AY60" s="1">
        <v>2</v>
      </c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>
        <v>3</v>
      </c>
      <c r="GJ60" s="1">
        <v>3</v>
      </c>
      <c r="GK60" s="1">
        <v>2</v>
      </c>
      <c r="GL60" s="1">
        <v>2</v>
      </c>
      <c r="GM60" s="1">
        <v>2</v>
      </c>
      <c r="GN60" s="1"/>
      <c r="GO60" s="1">
        <v>2</v>
      </c>
      <c r="GP60" s="1">
        <v>2</v>
      </c>
      <c r="GQ60" s="1">
        <v>3</v>
      </c>
      <c r="GR60" s="1">
        <v>2</v>
      </c>
      <c r="GS60" s="1">
        <v>3</v>
      </c>
      <c r="GT60" s="1"/>
      <c r="GU60" s="1"/>
      <c r="GV60" s="1"/>
      <c r="GW60" s="1"/>
      <c r="GX60" s="1"/>
      <c r="GY60" s="1"/>
      <c r="GZ60" s="1"/>
      <c r="HA60" s="1">
        <v>2</v>
      </c>
      <c r="HB60" s="1">
        <v>2</v>
      </c>
      <c r="HC60" s="1">
        <v>1</v>
      </c>
      <c r="HD60" s="1">
        <v>2</v>
      </c>
      <c r="HE60" s="1">
        <v>3</v>
      </c>
    </row>
    <row r="61" spans="1:213" x14ac:dyDescent="0.25">
      <c r="A61" t="s">
        <v>229</v>
      </c>
      <c r="B61" t="s">
        <v>209</v>
      </c>
      <c r="C61">
        <v>1352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>
        <v>1</v>
      </c>
      <c r="X61" s="1">
        <v>1</v>
      </c>
      <c r="Y61" s="1">
        <v>2</v>
      </c>
      <c r="Z61" s="1">
        <v>1</v>
      </c>
      <c r="AA61" s="1">
        <v>1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>
        <v>4</v>
      </c>
      <c r="AP61" s="1">
        <v>1</v>
      </c>
      <c r="AQ61" s="1">
        <v>2</v>
      </c>
      <c r="AR61" s="1">
        <v>4</v>
      </c>
      <c r="AS61" s="1">
        <v>2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>
        <v>1</v>
      </c>
      <c r="BT61" s="1">
        <v>1</v>
      </c>
      <c r="BU61" s="1">
        <v>1</v>
      </c>
      <c r="BV61" s="1">
        <v>1</v>
      </c>
      <c r="BW61" s="1">
        <v>1</v>
      </c>
      <c r="BX61" s="1"/>
      <c r="BY61" s="1"/>
      <c r="BZ61" s="1"/>
      <c r="CA61" s="1"/>
      <c r="CB61" s="1"/>
      <c r="CC61" s="1"/>
      <c r="CD61" s="1"/>
      <c r="CE61" s="1">
        <v>2</v>
      </c>
      <c r="CF61" s="1">
        <v>1</v>
      </c>
      <c r="CG61" s="1">
        <v>2</v>
      </c>
      <c r="CH61" s="1">
        <v>1</v>
      </c>
      <c r="CI61" s="1">
        <v>1</v>
      </c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>
        <v>1</v>
      </c>
      <c r="DP61" s="1">
        <v>1</v>
      </c>
      <c r="DQ61" s="1">
        <v>4</v>
      </c>
      <c r="DR61" s="1">
        <v>1</v>
      </c>
      <c r="DS61" s="1">
        <v>3</v>
      </c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>
        <v>2</v>
      </c>
      <c r="FL61" s="1">
        <v>1</v>
      </c>
      <c r="FM61" s="1">
        <v>2</v>
      </c>
      <c r="FN61" s="1">
        <v>1</v>
      </c>
      <c r="FO61" s="1">
        <v>4</v>
      </c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>
        <v>1</v>
      </c>
      <c r="HB61" s="1">
        <v>1</v>
      </c>
      <c r="HC61" s="1">
        <v>1</v>
      </c>
      <c r="HD61" s="1">
        <v>4</v>
      </c>
      <c r="HE61" s="1">
        <v>3</v>
      </c>
    </row>
    <row r="62" spans="1:213" x14ac:dyDescent="0.25">
      <c r="A62" t="s">
        <v>230</v>
      </c>
      <c r="B62" t="s">
        <v>209</v>
      </c>
      <c r="C62">
        <v>1424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>
        <v>5</v>
      </c>
      <c r="R62" s="1">
        <v>4</v>
      </c>
      <c r="S62" s="1">
        <v>4</v>
      </c>
      <c r="T62" s="1">
        <v>3</v>
      </c>
      <c r="U62" s="1">
        <v>3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>
        <v>4</v>
      </c>
      <c r="BZ62" s="1">
        <v>5</v>
      </c>
      <c r="CA62" s="1">
        <v>4</v>
      </c>
      <c r="CB62" s="1">
        <v>4</v>
      </c>
      <c r="CC62" s="1">
        <v>3</v>
      </c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>
        <v>4</v>
      </c>
      <c r="EH62" s="1">
        <v>2</v>
      </c>
      <c r="EI62" s="1">
        <v>5</v>
      </c>
      <c r="EJ62" s="1">
        <v>5</v>
      </c>
      <c r="EK62" s="1">
        <v>4</v>
      </c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>
        <v>5</v>
      </c>
      <c r="FF62" s="1">
        <v>1</v>
      </c>
      <c r="FG62" s="1">
        <v>3</v>
      </c>
      <c r="FH62" s="1">
        <v>5</v>
      </c>
      <c r="FI62" s="1">
        <v>4</v>
      </c>
      <c r="FJ62" s="1"/>
      <c r="FK62" s="1"/>
      <c r="FL62" s="1"/>
      <c r="FM62" s="1"/>
      <c r="FN62" s="1"/>
      <c r="FO62" s="1"/>
      <c r="FP62" s="1"/>
      <c r="FQ62" s="1">
        <v>3</v>
      </c>
      <c r="FR62" s="1">
        <v>2</v>
      </c>
      <c r="FS62" s="1">
        <v>4</v>
      </c>
      <c r="FT62" s="1">
        <v>4</v>
      </c>
      <c r="FU62" s="1">
        <v>3</v>
      </c>
      <c r="FV62" s="1"/>
      <c r="FW62" s="1">
        <v>3</v>
      </c>
      <c r="FX62" s="1">
        <v>3</v>
      </c>
      <c r="FY62" s="1">
        <v>5</v>
      </c>
      <c r="FZ62" s="1">
        <v>4</v>
      </c>
      <c r="GA62" s="1">
        <v>5</v>
      </c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>
        <v>4</v>
      </c>
      <c r="GP62" s="1">
        <v>5</v>
      </c>
      <c r="GQ62" s="1">
        <v>4</v>
      </c>
      <c r="GR62" s="1">
        <v>4</v>
      </c>
      <c r="GS62" s="1">
        <v>3</v>
      </c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</row>
    <row r="63" spans="1:213" x14ac:dyDescent="0.25">
      <c r="A63" t="s">
        <v>231</v>
      </c>
      <c r="B63" t="s">
        <v>209</v>
      </c>
      <c r="C63">
        <v>1311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>
        <v>5</v>
      </c>
      <c r="AD63" s="1">
        <v>3</v>
      </c>
      <c r="AE63" s="1">
        <v>1</v>
      </c>
      <c r="AF63" s="1">
        <v>1</v>
      </c>
      <c r="AG63" s="1">
        <v>3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>
        <v>3</v>
      </c>
      <c r="BT63" s="1">
        <v>3</v>
      </c>
      <c r="BU63" s="1">
        <v>2</v>
      </c>
      <c r="BV63" s="1">
        <v>3</v>
      </c>
      <c r="BW63" s="1">
        <v>2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>
        <v>2</v>
      </c>
      <c r="DD63" s="1">
        <v>1</v>
      </c>
      <c r="DE63" s="1">
        <v>1</v>
      </c>
      <c r="DF63" s="1">
        <v>1</v>
      </c>
      <c r="DG63" s="1">
        <v>1</v>
      </c>
      <c r="DH63" s="1"/>
      <c r="DI63" s="1">
        <v>3</v>
      </c>
      <c r="DJ63" s="1">
        <v>1</v>
      </c>
      <c r="DK63" s="1">
        <v>2</v>
      </c>
      <c r="DL63" s="1">
        <v>2</v>
      </c>
      <c r="DM63" s="1">
        <v>4</v>
      </c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>
        <v>3</v>
      </c>
      <c r="FF63" s="1">
        <v>3</v>
      </c>
      <c r="FG63" s="1">
        <v>4</v>
      </c>
      <c r="FH63" s="1">
        <v>4</v>
      </c>
      <c r="FI63" s="1">
        <v>2</v>
      </c>
      <c r="FJ63" s="1"/>
      <c r="FK63" s="1"/>
      <c r="FL63" s="1"/>
      <c r="FM63" s="1"/>
      <c r="FN63" s="1"/>
      <c r="FO63" s="1"/>
      <c r="FP63" s="1"/>
      <c r="FQ63" s="1">
        <v>1</v>
      </c>
      <c r="FR63" s="1">
        <v>3</v>
      </c>
      <c r="FS63" s="1">
        <v>1</v>
      </c>
      <c r="FT63" s="1">
        <v>1</v>
      </c>
      <c r="FU63" s="1">
        <v>1</v>
      </c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>
        <v>1</v>
      </c>
      <c r="GP63" s="1">
        <v>3</v>
      </c>
      <c r="GQ63" s="1">
        <v>2</v>
      </c>
      <c r="GR63" s="1">
        <v>2</v>
      </c>
      <c r="GS63" s="1">
        <v>2</v>
      </c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</row>
    <row r="64" spans="1:213" x14ac:dyDescent="0.25">
      <c r="A64" t="s">
        <v>232</v>
      </c>
      <c r="B64" t="s">
        <v>209</v>
      </c>
      <c r="C64">
        <v>1578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>
        <v>2</v>
      </c>
      <c r="R64" s="1">
        <v>2</v>
      </c>
      <c r="S64" s="1">
        <v>1</v>
      </c>
      <c r="T64" s="1">
        <v>2</v>
      </c>
      <c r="U64" s="1">
        <v>5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>
        <v>2</v>
      </c>
      <c r="AJ64" s="1">
        <v>1</v>
      </c>
      <c r="AK64" s="1">
        <v>3</v>
      </c>
      <c r="AL64" s="1">
        <v>5</v>
      </c>
      <c r="AM64" s="1">
        <v>3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>
        <v>2</v>
      </c>
      <c r="BZ64" s="1">
        <v>2</v>
      </c>
      <c r="CA64" s="1">
        <v>1</v>
      </c>
      <c r="CB64" s="1">
        <v>2</v>
      </c>
      <c r="CC64" s="1">
        <v>1</v>
      </c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>
        <v>2</v>
      </c>
      <c r="DP64" s="1">
        <v>2</v>
      </c>
      <c r="DQ64" s="1">
        <v>2</v>
      </c>
      <c r="DR64" s="1">
        <v>2</v>
      </c>
      <c r="DS64" s="1">
        <v>2</v>
      </c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>
        <v>2</v>
      </c>
      <c r="EH64" s="1">
        <v>2</v>
      </c>
      <c r="EI64" s="1">
        <v>3</v>
      </c>
      <c r="EJ64" s="1">
        <v>5</v>
      </c>
      <c r="EK64" s="1">
        <v>5</v>
      </c>
      <c r="EL64" s="1"/>
      <c r="EM64" s="1">
        <v>1</v>
      </c>
      <c r="EN64" s="1">
        <v>1</v>
      </c>
      <c r="EO64" s="1">
        <v>2</v>
      </c>
      <c r="EP64" s="1">
        <v>1</v>
      </c>
      <c r="EQ64" s="1">
        <v>2</v>
      </c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>
        <v>1</v>
      </c>
      <c r="GV64" s="1">
        <v>2</v>
      </c>
      <c r="GW64" s="1">
        <v>5</v>
      </c>
      <c r="GX64" s="1">
        <v>3</v>
      </c>
      <c r="GY64" s="1">
        <v>1</v>
      </c>
      <c r="GZ64" s="1"/>
      <c r="HA64" s="1"/>
      <c r="HB64" s="1"/>
      <c r="HC64" s="1"/>
      <c r="HD64" s="1"/>
      <c r="HE64" s="1"/>
    </row>
    <row r="65" spans="1:213" x14ac:dyDescent="0.25">
      <c r="A65" t="s">
        <v>233</v>
      </c>
      <c r="B65" t="s">
        <v>209</v>
      </c>
      <c r="C65">
        <v>1162</v>
      </c>
      <c r="E65" s="1"/>
      <c r="F65" s="1"/>
      <c r="G65" s="1"/>
      <c r="H65" s="1"/>
      <c r="I65" s="1"/>
      <c r="J65" s="1"/>
      <c r="K65" s="1">
        <v>3</v>
      </c>
      <c r="L65" s="1">
        <v>3</v>
      </c>
      <c r="M65" s="1">
        <v>3</v>
      </c>
      <c r="N65" s="1">
        <v>3</v>
      </c>
      <c r="O65" s="1">
        <v>2</v>
      </c>
      <c r="P65" s="1"/>
      <c r="Q65" s="1">
        <v>1</v>
      </c>
      <c r="R65" s="1">
        <v>1</v>
      </c>
      <c r="S65" s="1">
        <v>2</v>
      </c>
      <c r="T65" s="1">
        <v>1</v>
      </c>
      <c r="U65" s="1">
        <v>2</v>
      </c>
      <c r="V65" s="1"/>
      <c r="W65" s="1">
        <v>1</v>
      </c>
      <c r="X65" s="1">
        <v>2</v>
      </c>
      <c r="Y65" s="1">
        <v>3</v>
      </c>
      <c r="Z65" s="1">
        <v>2</v>
      </c>
      <c r="AA65" s="1">
        <v>2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>
        <v>3</v>
      </c>
      <c r="CX65" s="1">
        <v>2</v>
      </c>
      <c r="CY65" s="1">
        <v>2</v>
      </c>
      <c r="CZ65" s="1">
        <v>3</v>
      </c>
      <c r="DA65" s="1">
        <v>4</v>
      </c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>
        <v>4</v>
      </c>
      <c r="DV65" s="1">
        <v>2</v>
      </c>
      <c r="DW65" s="1">
        <v>3</v>
      </c>
      <c r="DX65" s="1">
        <v>4</v>
      </c>
      <c r="DY65" s="1">
        <v>2</v>
      </c>
      <c r="DZ65" s="1"/>
      <c r="EA65" s="1"/>
      <c r="EB65" s="1"/>
      <c r="EC65" s="1"/>
      <c r="ED65" s="1"/>
      <c r="EE65" s="1"/>
      <c r="EF65" s="1"/>
      <c r="EG65" s="1">
        <v>3</v>
      </c>
      <c r="EH65" s="1">
        <v>2</v>
      </c>
      <c r="EI65" s="1">
        <v>3</v>
      </c>
      <c r="EJ65" s="1">
        <v>3</v>
      </c>
      <c r="EK65" s="1">
        <v>2</v>
      </c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>
        <v>2</v>
      </c>
      <c r="GD65" s="1">
        <v>1</v>
      </c>
      <c r="GE65" s="1">
        <v>1</v>
      </c>
      <c r="GF65" s="1">
        <v>1</v>
      </c>
      <c r="GG65" s="1">
        <v>1</v>
      </c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</row>
    <row r="66" spans="1:213" x14ac:dyDescent="0.25">
      <c r="A66" t="s">
        <v>234</v>
      </c>
      <c r="B66" t="s">
        <v>209</v>
      </c>
      <c r="C66">
        <v>1768</v>
      </c>
      <c r="E66" s="1">
        <v>2</v>
      </c>
      <c r="F66" s="1">
        <v>1</v>
      </c>
      <c r="G66" s="1">
        <v>1</v>
      </c>
      <c r="H66" s="1">
        <v>2</v>
      </c>
      <c r="I66" s="1">
        <v>1</v>
      </c>
      <c r="J66" s="1"/>
      <c r="K66" s="1">
        <v>4</v>
      </c>
      <c r="L66" s="1">
        <v>4</v>
      </c>
      <c r="M66" s="1">
        <v>2</v>
      </c>
      <c r="N66" s="1">
        <v>2</v>
      </c>
      <c r="O66" s="1">
        <v>3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>
        <v>3</v>
      </c>
      <c r="BB66" s="1">
        <v>2</v>
      </c>
      <c r="BC66" s="1">
        <v>5</v>
      </c>
      <c r="BD66" s="1">
        <v>3</v>
      </c>
      <c r="BE66" s="1">
        <v>5</v>
      </c>
      <c r="BF66" s="1"/>
      <c r="BG66" s="1"/>
      <c r="BH66" s="1"/>
      <c r="BI66" s="1"/>
      <c r="BJ66" s="1"/>
      <c r="BK66" s="1"/>
      <c r="BL66" s="1"/>
      <c r="BM66" s="1">
        <v>4</v>
      </c>
      <c r="BN66" s="1">
        <v>1</v>
      </c>
      <c r="BO66" s="1">
        <v>2</v>
      </c>
      <c r="BP66" s="1">
        <v>1</v>
      </c>
      <c r="BQ66" s="1">
        <v>1</v>
      </c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>
        <v>2</v>
      </c>
      <c r="DJ66" s="1">
        <v>2</v>
      </c>
      <c r="DK66" s="1">
        <v>3</v>
      </c>
      <c r="DL66" s="1">
        <v>2</v>
      </c>
      <c r="DM66" s="1">
        <v>5</v>
      </c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>
        <v>3</v>
      </c>
      <c r="EB66" s="1">
        <v>1</v>
      </c>
      <c r="EC66" s="1">
        <v>2</v>
      </c>
      <c r="ED66" s="1">
        <v>2</v>
      </c>
      <c r="EE66" s="1">
        <v>5</v>
      </c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>
        <v>2</v>
      </c>
      <c r="ET66" s="1">
        <v>1</v>
      </c>
      <c r="EU66" s="1">
        <v>2</v>
      </c>
      <c r="EV66" s="1">
        <v>2</v>
      </c>
      <c r="EW66" s="1">
        <v>2</v>
      </c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</row>
    <row r="67" spans="1:213" x14ac:dyDescent="0.25">
      <c r="A67" t="s">
        <v>235</v>
      </c>
      <c r="B67" t="s">
        <v>209</v>
      </c>
      <c r="C67">
        <v>1761</v>
      </c>
      <c r="E67" s="1">
        <v>3</v>
      </c>
      <c r="F67" s="1">
        <v>2</v>
      </c>
      <c r="G67" s="1">
        <v>1</v>
      </c>
      <c r="H67" s="1">
        <v>4</v>
      </c>
      <c r="I67" s="1">
        <v>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>
        <v>4</v>
      </c>
      <c r="X67" s="1">
        <v>4</v>
      </c>
      <c r="Y67" s="1">
        <v>4</v>
      </c>
      <c r="Z67" s="1">
        <v>4</v>
      </c>
      <c r="AA67" s="1">
        <v>4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>
        <v>3</v>
      </c>
      <c r="BZ67" s="1">
        <v>3</v>
      </c>
      <c r="CA67" s="1">
        <v>4</v>
      </c>
      <c r="CB67" s="1">
        <v>4</v>
      </c>
      <c r="CC67" s="1">
        <v>4</v>
      </c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>
        <v>3</v>
      </c>
      <c r="CR67" s="1">
        <v>4</v>
      </c>
      <c r="CS67" s="1">
        <v>4</v>
      </c>
      <c r="CT67" s="1">
        <v>4</v>
      </c>
      <c r="CU67" s="1">
        <v>3</v>
      </c>
      <c r="CV67" s="1"/>
      <c r="CW67" s="1">
        <v>4</v>
      </c>
      <c r="CX67" s="1">
        <v>4</v>
      </c>
      <c r="CY67" s="1">
        <v>4</v>
      </c>
      <c r="CZ67" s="1">
        <v>4</v>
      </c>
      <c r="DA67" s="1">
        <v>4</v>
      </c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>
        <v>4</v>
      </c>
      <c r="EN67" s="1">
        <v>1</v>
      </c>
      <c r="EO67" s="1">
        <v>4</v>
      </c>
      <c r="EP67" s="1">
        <v>2</v>
      </c>
      <c r="EQ67" s="1">
        <v>4</v>
      </c>
      <c r="ER67" s="1"/>
      <c r="ES67" s="1">
        <v>2</v>
      </c>
      <c r="ET67" s="1">
        <v>1</v>
      </c>
      <c r="EU67" s="1">
        <v>4</v>
      </c>
      <c r="EV67" s="1">
        <v>4</v>
      </c>
      <c r="EW67" s="1">
        <v>4</v>
      </c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</row>
    <row r="68" spans="1:213" x14ac:dyDescent="0.25">
      <c r="A68" t="s">
        <v>236</v>
      </c>
      <c r="B68" t="s">
        <v>209</v>
      </c>
      <c r="C68">
        <v>1688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>
        <v>3</v>
      </c>
      <c r="AP68" s="1">
        <v>4</v>
      </c>
      <c r="AQ68" s="1">
        <v>3</v>
      </c>
      <c r="AR68" s="1">
        <v>4</v>
      </c>
      <c r="AS68" s="1">
        <v>3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>
        <v>4</v>
      </c>
      <c r="BH68" s="1">
        <v>2</v>
      </c>
      <c r="BI68" s="1">
        <v>4</v>
      </c>
      <c r="BJ68" s="1">
        <v>4</v>
      </c>
      <c r="BK68" s="1">
        <v>3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>
        <v>3</v>
      </c>
      <c r="DP68" s="1">
        <v>1</v>
      </c>
      <c r="DQ68" s="1">
        <v>3</v>
      </c>
      <c r="DR68" s="1">
        <v>2</v>
      </c>
      <c r="DS68" s="1">
        <v>3</v>
      </c>
      <c r="DT68" s="1"/>
      <c r="DU68" s="1"/>
      <c r="DV68" s="1"/>
      <c r="DW68" s="1"/>
      <c r="DX68" s="1"/>
      <c r="DY68" s="1"/>
      <c r="DZ68" s="1"/>
      <c r="EA68" s="1">
        <v>4</v>
      </c>
      <c r="EB68" s="1">
        <v>1</v>
      </c>
      <c r="EC68" s="1">
        <v>2</v>
      </c>
      <c r="ED68" s="1">
        <v>3</v>
      </c>
      <c r="EE68" s="1">
        <v>3</v>
      </c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>
        <v>4</v>
      </c>
      <c r="EZ68" s="1">
        <v>2</v>
      </c>
      <c r="FA68" s="1">
        <v>3</v>
      </c>
      <c r="FB68" s="1">
        <v>2</v>
      </c>
      <c r="FC68" s="1">
        <v>3</v>
      </c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>
        <v>4</v>
      </c>
      <c r="GJ68" s="1">
        <v>3</v>
      </c>
      <c r="GK68" s="1">
        <v>4</v>
      </c>
      <c r="GL68" s="1">
        <v>3</v>
      </c>
      <c r="GM68" s="1">
        <v>3</v>
      </c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>
        <v>2</v>
      </c>
      <c r="HB68" s="1">
        <v>4</v>
      </c>
      <c r="HC68" s="1">
        <v>4</v>
      </c>
      <c r="HD68" s="1">
        <v>4</v>
      </c>
      <c r="HE68" s="1">
        <v>4</v>
      </c>
    </row>
    <row r="69" spans="1:213" x14ac:dyDescent="0.25">
      <c r="A69" t="s">
        <v>237</v>
      </c>
      <c r="B69" t="s">
        <v>209</v>
      </c>
      <c r="C69">
        <v>2146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>
        <v>2</v>
      </c>
      <c r="AV69" s="1">
        <v>1</v>
      </c>
      <c r="AW69" s="1">
        <v>3</v>
      </c>
      <c r="AX69" s="1">
        <v>2</v>
      </c>
      <c r="AY69" s="1">
        <v>1</v>
      </c>
      <c r="AZ69" s="1"/>
      <c r="BA69" s="1">
        <v>4</v>
      </c>
      <c r="BB69" s="1">
        <v>3</v>
      </c>
      <c r="BC69" s="1">
        <v>5</v>
      </c>
      <c r="BD69" s="1">
        <v>2</v>
      </c>
      <c r="BE69" s="1">
        <v>4</v>
      </c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>
        <v>5</v>
      </c>
      <c r="BT69" s="1">
        <v>4</v>
      </c>
      <c r="BU69" s="1">
        <v>4</v>
      </c>
      <c r="BV69" s="1">
        <v>3</v>
      </c>
      <c r="BW69" s="1">
        <v>1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>
        <v>3</v>
      </c>
      <c r="CL69" s="1">
        <v>2</v>
      </c>
      <c r="CM69" s="1">
        <v>5</v>
      </c>
      <c r="CN69" s="1">
        <v>3</v>
      </c>
      <c r="CO69" s="1">
        <v>1</v>
      </c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>
        <v>1</v>
      </c>
      <c r="EH69" s="1">
        <v>2</v>
      </c>
      <c r="EI69" s="1">
        <v>5</v>
      </c>
      <c r="EJ69" s="1">
        <v>4</v>
      </c>
      <c r="EK69" s="1">
        <v>1</v>
      </c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>
        <v>5</v>
      </c>
      <c r="GD69" s="1">
        <v>2</v>
      </c>
      <c r="GE69" s="1">
        <v>4</v>
      </c>
      <c r="GF69" s="1">
        <v>2</v>
      </c>
      <c r="GG69" s="1">
        <v>1</v>
      </c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>
        <v>4</v>
      </c>
      <c r="GV69" s="1">
        <v>3</v>
      </c>
      <c r="GW69" s="1">
        <v>4</v>
      </c>
      <c r="GX69" s="1">
        <v>4</v>
      </c>
      <c r="GY69" s="1">
        <v>1</v>
      </c>
      <c r="GZ69" s="1"/>
      <c r="HA69" s="1"/>
      <c r="HB69" s="1"/>
      <c r="HC69" s="1"/>
      <c r="HD69" s="1"/>
      <c r="HE69" s="1"/>
    </row>
    <row r="70" spans="1:213" x14ac:dyDescent="0.25">
      <c r="A70" t="s">
        <v>238</v>
      </c>
      <c r="B70" t="s">
        <v>209</v>
      </c>
      <c r="C70">
        <v>846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>
        <v>2</v>
      </c>
      <c r="AP70" s="1">
        <v>4</v>
      </c>
      <c r="AQ70" s="1">
        <v>4</v>
      </c>
      <c r="AR70" s="1">
        <v>2</v>
      </c>
      <c r="AS70" s="1">
        <v>1</v>
      </c>
      <c r="AT70" s="1"/>
      <c r="AU70" s="1"/>
      <c r="AV70" s="1"/>
      <c r="AW70" s="1"/>
      <c r="AX70" s="1"/>
      <c r="AY70" s="1"/>
      <c r="AZ70" s="1"/>
      <c r="BA70" s="1">
        <v>3</v>
      </c>
      <c r="BB70" s="1">
        <v>4</v>
      </c>
      <c r="BC70" s="1">
        <v>3</v>
      </c>
      <c r="BD70" s="1">
        <v>3</v>
      </c>
      <c r="BE70" s="1">
        <v>2</v>
      </c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>
        <v>1</v>
      </c>
      <c r="BZ70" s="1">
        <v>2</v>
      </c>
      <c r="CA70" s="1">
        <v>3</v>
      </c>
      <c r="CB70" s="1">
        <v>2</v>
      </c>
      <c r="CC70" s="1">
        <v>1</v>
      </c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>
        <v>2</v>
      </c>
      <c r="DJ70" s="1">
        <v>1</v>
      </c>
      <c r="DK70" s="1">
        <v>2</v>
      </c>
      <c r="DL70" s="1">
        <v>2</v>
      </c>
      <c r="DM70" s="1">
        <v>3</v>
      </c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>
        <v>5</v>
      </c>
      <c r="EB70" s="1">
        <v>3</v>
      </c>
      <c r="EC70" s="1">
        <v>5</v>
      </c>
      <c r="ED70" s="1">
        <v>5</v>
      </c>
      <c r="EE70" s="1">
        <v>2</v>
      </c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>
        <v>1</v>
      </c>
      <c r="FX70" s="1">
        <v>1</v>
      </c>
      <c r="FY70" s="1">
        <v>1</v>
      </c>
      <c r="FZ70" s="1">
        <v>1</v>
      </c>
      <c r="GA70" s="1">
        <v>3</v>
      </c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>
        <v>5</v>
      </c>
      <c r="GP70" s="1">
        <v>5</v>
      </c>
      <c r="GQ70" s="1">
        <v>4</v>
      </c>
      <c r="GR70" s="1">
        <v>5</v>
      </c>
      <c r="GS70" s="1">
        <v>5</v>
      </c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</row>
    <row r="71" spans="1:213" x14ac:dyDescent="0.25">
      <c r="A71" t="s">
        <v>184</v>
      </c>
      <c r="E71" s="1">
        <f t="shared" ref="E71:I71" si="349">AVERAGE(E41:E70)</f>
        <v>2.5</v>
      </c>
      <c r="F71" s="1">
        <f t="shared" si="349"/>
        <v>1.5</v>
      </c>
      <c r="G71" s="1">
        <f t="shared" si="349"/>
        <v>1.6666666666666667</v>
      </c>
      <c r="H71" s="1">
        <f t="shared" si="349"/>
        <v>2.5</v>
      </c>
      <c r="I71" s="1">
        <f t="shared" si="349"/>
        <v>1.1666666666666667</v>
      </c>
      <c r="J71" s="1"/>
      <c r="K71" s="1">
        <f t="shared" ref="K71:O71" si="350">AVERAGE(K41:K70)</f>
        <v>3.1666666666666665</v>
      </c>
      <c r="L71" s="1">
        <f t="shared" si="350"/>
        <v>2.1666666666666665</v>
      </c>
      <c r="M71" s="1">
        <f t="shared" si="350"/>
        <v>1.6666666666666667</v>
      </c>
      <c r="N71" s="1">
        <f t="shared" si="350"/>
        <v>3.6666666666666665</v>
      </c>
      <c r="O71" s="1">
        <f t="shared" si="350"/>
        <v>1.8333333333333333</v>
      </c>
      <c r="P71" s="1"/>
      <c r="Q71" s="1">
        <f t="shared" ref="Q71:U71" si="351">AVERAGE(Q41:Q70)</f>
        <v>2.4285714285714284</v>
      </c>
      <c r="R71" s="1">
        <f t="shared" si="351"/>
        <v>2.4285714285714284</v>
      </c>
      <c r="S71" s="1">
        <f t="shared" si="351"/>
        <v>2.1428571428571428</v>
      </c>
      <c r="T71" s="1">
        <f t="shared" si="351"/>
        <v>1.8571428571428572</v>
      </c>
      <c r="U71" s="1">
        <f t="shared" si="351"/>
        <v>2.5714285714285716</v>
      </c>
      <c r="V71" s="1"/>
      <c r="W71" s="1">
        <f t="shared" ref="W71:AA71" si="352">AVERAGE(W41:W70)</f>
        <v>2.8571428571428572</v>
      </c>
      <c r="X71" s="1">
        <f t="shared" si="352"/>
        <v>2.7142857142857144</v>
      </c>
      <c r="Y71" s="1">
        <f t="shared" si="352"/>
        <v>3.5714285714285716</v>
      </c>
      <c r="Z71" s="1">
        <f t="shared" si="352"/>
        <v>3</v>
      </c>
      <c r="AA71" s="1">
        <f t="shared" si="352"/>
        <v>3.4285714285714284</v>
      </c>
      <c r="AB71" s="1"/>
      <c r="AC71" s="1">
        <f t="shared" ref="AC71:AG71" si="353">AVERAGE(AC41:AC70)</f>
        <v>3</v>
      </c>
      <c r="AD71" s="1">
        <f t="shared" si="353"/>
        <v>2.4</v>
      </c>
      <c r="AE71" s="1">
        <f t="shared" si="353"/>
        <v>2</v>
      </c>
      <c r="AF71" s="1">
        <f t="shared" si="353"/>
        <v>1</v>
      </c>
      <c r="AG71" s="1">
        <f t="shared" si="353"/>
        <v>3.2</v>
      </c>
      <c r="AH71" s="1"/>
      <c r="AI71" s="1">
        <f t="shared" ref="AI71:AM71" si="354">AVERAGE(AI41:AI70)</f>
        <v>1.8333333333333333</v>
      </c>
      <c r="AJ71" s="1">
        <f t="shared" si="354"/>
        <v>1.5</v>
      </c>
      <c r="AK71" s="1">
        <f t="shared" si="354"/>
        <v>2.5</v>
      </c>
      <c r="AL71" s="1">
        <f t="shared" si="354"/>
        <v>3</v>
      </c>
      <c r="AM71" s="1">
        <f t="shared" si="354"/>
        <v>2.5</v>
      </c>
      <c r="AN71" s="1"/>
      <c r="AO71" s="1">
        <f t="shared" ref="AO71:AS71" si="355">AVERAGE(AO41:AO70)</f>
        <v>3</v>
      </c>
      <c r="AP71" s="1">
        <f t="shared" si="355"/>
        <v>3.7142857142857144</v>
      </c>
      <c r="AQ71" s="1">
        <f t="shared" si="355"/>
        <v>2.5714285714285716</v>
      </c>
      <c r="AR71" s="1">
        <f t="shared" si="355"/>
        <v>2.5714285714285716</v>
      </c>
      <c r="AS71" s="1">
        <f t="shared" si="355"/>
        <v>1.8571428571428572</v>
      </c>
      <c r="AT71" s="1"/>
      <c r="AU71" s="1">
        <f t="shared" ref="AU71:AY71" si="356">AVERAGE(AU41:AU70)</f>
        <v>2.6</v>
      </c>
      <c r="AV71" s="1">
        <f t="shared" si="356"/>
        <v>1.6</v>
      </c>
      <c r="AW71" s="1">
        <f t="shared" si="356"/>
        <v>2.8</v>
      </c>
      <c r="AX71" s="1">
        <f t="shared" si="356"/>
        <v>1.2</v>
      </c>
      <c r="AY71" s="1">
        <f t="shared" si="356"/>
        <v>1.4</v>
      </c>
      <c r="AZ71" s="1"/>
      <c r="BA71" s="1">
        <f t="shared" ref="BA71:BE71" si="357">AVERAGE(BA41:BA70)</f>
        <v>2.6666666666666665</v>
      </c>
      <c r="BB71" s="1">
        <f t="shared" si="357"/>
        <v>2</v>
      </c>
      <c r="BC71" s="1">
        <f t="shared" si="357"/>
        <v>3.8333333333333335</v>
      </c>
      <c r="BD71" s="1">
        <f t="shared" si="357"/>
        <v>3.1666666666666665</v>
      </c>
      <c r="BE71" s="1">
        <f t="shared" si="357"/>
        <v>4.333333333333333</v>
      </c>
      <c r="BF71" s="1"/>
      <c r="BG71" s="1">
        <f t="shared" ref="BG71:BK71" si="358">AVERAGE(BG41:BG70)</f>
        <v>2</v>
      </c>
      <c r="BH71" s="1">
        <f t="shared" si="358"/>
        <v>1.6</v>
      </c>
      <c r="BI71" s="1">
        <f t="shared" si="358"/>
        <v>2.2000000000000002</v>
      </c>
      <c r="BJ71" s="1">
        <f t="shared" si="358"/>
        <v>1.8</v>
      </c>
      <c r="BK71" s="1">
        <f t="shared" si="358"/>
        <v>2.8</v>
      </c>
      <c r="BL71" s="1"/>
      <c r="BM71" s="1">
        <f t="shared" ref="BM71:BQ71" si="359">AVERAGE(BM41:BM70)</f>
        <v>3.3333333333333335</v>
      </c>
      <c r="BN71" s="1">
        <f t="shared" si="359"/>
        <v>1.8333333333333333</v>
      </c>
      <c r="BO71" s="1">
        <f t="shared" si="359"/>
        <v>3</v>
      </c>
      <c r="BP71" s="1">
        <f t="shared" si="359"/>
        <v>1.6666666666666667</v>
      </c>
      <c r="BQ71" s="1">
        <f t="shared" si="359"/>
        <v>3</v>
      </c>
      <c r="BR71" s="1"/>
      <c r="BS71" s="1">
        <f t="shared" ref="BS71:BW71" si="360">AVERAGE(BS41:BS70)</f>
        <v>2.5</v>
      </c>
      <c r="BT71" s="1">
        <f t="shared" si="360"/>
        <v>2.6666666666666665</v>
      </c>
      <c r="BU71" s="1">
        <f t="shared" si="360"/>
        <v>2.1666666666666665</v>
      </c>
      <c r="BV71" s="1">
        <f t="shared" si="360"/>
        <v>2.1666666666666665</v>
      </c>
      <c r="BW71" s="1">
        <f t="shared" si="360"/>
        <v>2.5</v>
      </c>
      <c r="BX71" s="1"/>
      <c r="BY71" s="1">
        <f t="shared" ref="BY71:CC71" si="361">AVERAGE(BY41:BY70)</f>
        <v>2</v>
      </c>
      <c r="BZ71" s="1">
        <f t="shared" si="361"/>
        <v>2.3333333333333335</v>
      </c>
      <c r="CA71" s="1">
        <f t="shared" si="361"/>
        <v>2.5</v>
      </c>
      <c r="CB71" s="1">
        <f t="shared" si="361"/>
        <v>3</v>
      </c>
      <c r="CC71" s="1">
        <f t="shared" si="361"/>
        <v>2.5</v>
      </c>
      <c r="CD71" s="1"/>
      <c r="CE71" s="1">
        <f t="shared" ref="CE71:CI71" si="362">AVERAGE(CE41:CE70)</f>
        <v>2.8333333333333335</v>
      </c>
      <c r="CF71" s="1">
        <f t="shared" si="362"/>
        <v>2.3333333333333335</v>
      </c>
      <c r="CG71" s="1">
        <f t="shared" si="362"/>
        <v>2.8333333333333335</v>
      </c>
      <c r="CH71" s="1">
        <f t="shared" si="362"/>
        <v>2.1666666666666665</v>
      </c>
      <c r="CI71" s="1">
        <f t="shared" si="362"/>
        <v>3</v>
      </c>
      <c r="CJ71" s="1"/>
      <c r="CK71" s="1">
        <f t="shared" ref="CK71:CO71" si="363">AVERAGE(CK41:CK70)</f>
        <v>2.1428571428571428</v>
      </c>
      <c r="CL71" s="1">
        <f t="shared" si="363"/>
        <v>2.4285714285714284</v>
      </c>
      <c r="CM71" s="1">
        <f t="shared" si="363"/>
        <v>2.7142857142857144</v>
      </c>
      <c r="CN71" s="1">
        <f t="shared" si="363"/>
        <v>2.4285714285714284</v>
      </c>
      <c r="CO71" s="1">
        <f t="shared" si="363"/>
        <v>3.2857142857142856</v>
      </c>
      <c r="CP71" s="1"/>
      <c r="CQ71" s="1">
        <f t="shared" ref="CQ71:CU71" si="364">AVERAGE(CQ41:CQ70)</f>
        <v>3.3333333333333335</v>
      </c>
      <c r="CR71" s="1">
        <f t="shared" si="364"/>
        <v>3.3333333333333335</v>
      </c>
      <c r="CS71" s="1">
        <f t="shared" si="364"/>
        <v>3.5</v>
      </c>
      <c r="CT71" s="1">
        <f t="shared" si="364"/>
        <v>4.166666666666667</v>
      </c>
      <c r="CU71" s="1">
        <f t="shared" si="364"/>
        <v>2</v>
      </c>
      <c r="CV71" s="1"/>
      <c r="CW71" s="1">
        <f t="shared" ref="CW71:DA71" si="365">AVERAGE(CW41:CW70)</f>
        <v>2.5</v>
      </c>
      <c r="CX71" s="1">
        <f t="shared" si="365"/>
        <v>2</v>
      </c>
      <c r="CY71" s="1">
        <f t="shared" si="365"/>
        <v>2</v>
      </c>
      <c r="CZ71" s="1">
        <f t="shared" si="365"/>
        <v>3</v>
      </c>
      <c r="DA71" s="1">
        <f t="shared" si="365"/>
        <v>3.8333333333333335</v>
      </c>
      <c r="DB71" s="1"/>
      <c r="DC71" s="1">
        <f t="shared" ref="DC71:DG71" si="366">AVERAGE(DC41:DC70)</f>
        <v>2.1666666666666665</v>
      </c>
      <c r="DD71" s="1">
        <f t="shared" si="366"/>
        <v>2.3333333333333335</v>
      </c>
      <c r="DE71" s="1">
        <f t="shared" si="366"/>
        <v>2.3333333333333335</v>
      </c>
      <c r="DF71" s="1">
        <f t="shared" si="366"/>
        <v>1.8333333333333333</v>
      </c>
      <c r="DG71" s="1">
        <f t="shared" si="366"/>
        <v>2.3333333333333335</v>
      </c>
      <c r="DH71" s="1"/>
      <c r="DI71" s="1">
        <f t="shared" ref="DI71:DM71" si="367">AVERAGE(DI41:DI70)</f>
        <v>2</v>
      </c>
      <c r="DJ71" s="1">
        <f t="shared" si="367"/>
        <v>1.8333333333333333</v>
      </c>
      <c r="DK71" s="1">
        <f t="shared" si="367"/>
        <v>2.8333333333333335</v>
      </c>
      <c r="DL71" s="1">
        <f t="shared" si="367"/>
        <v>1.6666666666666667</v>
      </c>
      <c r="DM71" s="1">
        <f t="shared" si="367"/>
        <v>4.333333333333333</v>
      </c>
      <c r="DN71" s="1"/>
      <c r="DO71" s="1">
        <f t="shared" ref="DO71:DS71" si="368">AVERAGE(DO41:DO70)</f>
        <v>2.1666666666666665</v>
      </c>
      <c r="DP71" s="1">
        <f t="shared" si="368"/>
        <v>1.1666666666666667</v>
      </c>
      <c r="DQ71" s="1">
        <f t="shared" si="368"/>
        <v>2.3333333333333335</v>
      </c>
      <c r="DR71" s="1">
        <f t="shared" si="368"/>
        <v>1.5</v>
      </c>
      <c r="DS71" s="1">
        <f t="shared" si="368"/>
        <v>2.5</v>
      </c>
      <c r="DT71" s="1"/>
      <c r="DU71" s="1">
        <f t="shared" ref="DU71:DY71" si="369">AVERAGE(DU41:DU70)</f>
        <v>2.4285714285714284</v>
      </c>
      <c r="DV71" s="1">
        <f t="shared" si="369"/>
        <v>3</v>
      </c>
      <c r="DW71" s="1">
        <f t="shared" si="369"/>
        <v>2.8571428571428572</v>
      </c>
      <c r="DX71" s="1">
        <f t="shared" si="369"/>
        <v>2.7142857142857144</v>
      </c>
      <c r="DY71" s="1">
        <f t="shared" si="369"/>
        <v>2.1428571428571428</v>
      </c>
      <c r="DZ71" s="1"/>
      <c r="EA71" s="1">
        <f t="shared" ref="EA71:EE71" si="370">AVERAGE(EA41:EA70)</f>
        <v>4.1428571428571432</v>
      </c>
      <c r="EB71" s="1">
        <f t="shared" si="370"/>
        <v>1.4285714285714286</v>
      </c>
      <c r="EC71" s="1">
        <f t="shared" si="370"/>
        <v>3</v>
      </c>
      <c r="ED71" s="1">
        <f t="shared" si="370"/>
        <v>2.4285714285714284</v>
      </c>
      <c r="EE71" s="1">
        <f t="shared" si="370"/>
        <v>3.7142857142857144</v>
      </c>
      <c r="EF71" s="1"/>
      <c r="EG71" s="1">
        <f t="shared" ref="EG71:EK71" si="371">AVERAGE(EG41:EG70)</f>
        <v>2.1666666666666665</v>
      </c>
      <c r="EH71" s="1">
        <f t="shared" si="371"/>
        <v>2</v>
      </c>
      <c r="EI71" s="1">
        <f t="shared" si="371"/>
        <v>3.1666666666666665</v>
      </c>
      <c r="EJ71" s="1">
        <f t="shared" si="371"/>
        <v>3.6666666666666665</v>
      </c>
      <c r="EK71" s="1">
        <f t="shared" si="371"/>
        <v>2.6666666666666665</v>
      </c>
      <c r="EL71" s="1"/>
      <c r="EM71" s="1">
        <f t="shared" ref="EM71:EQ71" si="372">AVERAGE(EM41:EM70)</f>
        <v>2.8</v>
      </c>
      <c r="EN71" s="1">
        <f t="shared" si="372"/>
        <v>1.4</v>
      </c>
      <c r="EO71" s="1">
        <f t="shared" si="372"/>
        <v>2.8</v>
      </c>
      <c r="EP71" s="1">
        <f t="shared" si="372"/>
        <v>1.4</v>
      </c>
      <c r="EQ71" s="1">
        <f t="shared" si="372"/>
        <v>3.6</v>
      </c>
      <c r="ER71" s="1"/>
      <c r="ES71" s="1">
        <f t="shared" ref="ES71:EW71" si="373">AVERAGE(ES41:ES70)</f>
        <v>2.4</v>
      </c>
      <c r="ET71" s="1">
        <f t="shared" si="373"/>
        <v>1.2</v>
      </c>
      <c r="EU71" s="1">
        <f t="shared" si="373"/>
        <v>2.6</v>
      </c>
      <c r="EV71" s="1">
        <f t="shared" si="373"/>
        <v>2.8</v>
      </c>
      <c r="EW71" s="1">
        <f t="shared" si="373"/>
        <v>3.2</v>
      </c>
      <c r="EX71" s="1"/>
      <c r="EY71" s="1">
        <f t="shared" ref="EY71:FC71" si="374">AVERAGE(EY41:EY70)</f>
        <v>3.4</v>
      </c>
      <c r="EZ71" s="1">
        <f t="shared" si="374"/>
        <v>2</v>
      </c>
      <c r="FA71" s="1">
        <f t="shared" si="374"/>
        <v>3.2</v>
      </c>
      <c r="FB71" s="1">
        <f t="shared" si="374"/>
        <v>3</v>
      </c>
      <c r="FC71" s="1">
        <f t="shared" si="374"/>
        <v>2.2000000000000002</v>
      </c>
      <c r="FD71" s="1"/>
      <c r="FE71" s="1">
        <f t="shared" ref="FE71:FI71" si="375">AVERAGE(FE41:FE70)</f>
        <v>3</v>
      </c>
      <c r="FF71" s="1">
        <f t="shared" si="375"/>
        <v>1.8</v>
      </c>
      <c r="FG71" s="1">
        <f t="shared" si="375"/>
        <v>2.8</v>
      </c>
      <c r="FH71" s="1">
        <f t="shared" si="375"/>
        <v>3.2</v>
      </c>
      <c r="FI71" s="1">
        <f t="shared" si="375"/>
        <v>2.4</v>
      </c>
      <c r="FJ71" s="1"/>
      <c r="FK71" s="1">
        <f t="shared" ref="FK71:FO71" si="376">AVERAGE(FK41:FK70)</f>
        <v>2</v>
      </c>
      <c r="FL71" s="1">
        <f t="shared" si="376"/>
        <v>1.5714285714285714</v>
      </c>
      <c r="FM71" s="1">
        <f t="shared" si="376"/>
        <v>2</v>
      </c>
      <c r="FN71" s="1">
        <f t="shared" si="376"/>
        <v>2</v>
      </c>
      <c r="FO71" s="1">
        <f t="shared" si="376"/>
        <v>2.4285714285714284</v>
      </c>
      <c r="FP71" s="1"/>
      <c r="FQ71" s="1">
        <f t="shared" ref="FQ71:FU71" si="377">AVERAGE(FQ41:FQ70)</f>
        <v>2.6666666666666665</v>
      </c>
      <c r="FR71" s="1">
        <f t="shared" si="377"/>
        <v>2.6666666666666665</v>
      </c>
      <c r="FS71" s="1">
        <f t="shared" si="377"/>
        <v>2.8333333333333335</v>
      </c>
      <c r="FT71" s="1">
        <f t="shared" si="377"/>
        <v>2.8333333333333335</v>
      </c>
      <c r="FU71" s="1">
        <f t="shared" si="377"/>
        <v>3</v>
      </c>
      <c r="FV71" s="1"/>
      <c r="FW71" s="1">
        <f t="shared" ref="FW71:GA71" si="378">AVERAGE(FW41:FW70)</f>
        <v>1.8571428571428572</v>
      </c>
      <c r="FX71" s="1">
        <f t="shared" si="378"/>
        <v>1.4285714285714286</v>
      </c>
      <c r="FY71" s="1">
        <f t="shared" si="378"/>
        <v>2.8571428571428572</v>
      </c>
      <c r="FZ71" s="1">
        <f t="shared" si="378"/>
        <v>1.7142857142857142</v>
      </c>
      <c r="GA71" s="1">
        <f t="shared" si="378"/>
        <v>3</v>
      </c>
      <c r="GB71" s="1"/>
      <c r="GC71" s="1">
        <f t="shared" ref="GC71:GG71" si="379">AVERAGE(GC41:GC70)</f>
        <v>3</v>
      </c>
      <c r="GD71" s="1">
        <f t="shared" si="379"/>
        <v>1.8333333333333333</v>
      </c>
      <c r="GE71" s="1">
        <f t="shared" si="379"/>
        <v>3</v>
      </c>
      <c r="GF71" s="1">
        <f t="shared" si="379"/>
        <v>2.1666666666666665</v>
      </c>
      <c r="GG71" s="1">
        <f t="shared" si="379"/>
        <v>1.5</v>
      </c>
      <c r="GH71" s="1"/>
      <c r="GI71" s="1">
        <f t="shared" ref="GI71:GM71" si="380">AVERAGE(GI41:GI70)</f>
        <v>3.8</v>
      </c>
      <c r="GJ71" s="1">
        <f t="shared" si="380"/>
        <v>3.4</v>
      </c>
      <c r="GK71" s="1">
        <f t="shared" si="380"/>
        <v>3.4</v>
      </c>
      <c r="GL71" s="1">
        <f t="shared" si="380"/>
        <v>2.2000000000000002</v>
      </c>
      <c r="GM71" s="1">
        <f t="shared" si="380"/>
        <v>1.6</v>
      </c>
      <c r="GN71" s="1"/>
      <c r="GO71" s="1">
        <f t="shared" ref="GO71:GS71" si="381">AVERAGE(GO41:GO70)</f>
        <v>2.4285714285714284</v>
      </c>
      <c r="GP71" s="1">
        <f t="shared" si="381"/>
        <v>3</v>
      </c>
      <c r="GQ71" s="1">
        <f t="shared" si="381"/>
        <v>2.5714285714285716</v>
      </c>
      <c r="GR71" s="1">
        <f t="shared" si="381"/>
        <v>2.5714285714285716</v>
      </c>
      <c r="GS71" s="1">
        <f t="shared" si="381"/>
        <v>2.8571428571428572</v>
      </c>
      <c r="GT71" s="1"/>
      <c r="GU71" s="1">
        <f t="shared" ref="GU71:GY71" si="382">AVERAGE(GU41:GU70)</f>
        <v>3.2</v>
      </c>
      <c r="GV71" s="1">
        <f t="shared" si="382"/>
        <v>2.4</v>
      </c>
      <c r="GW71" s="1">
        <f t="shared" si="382"/>
        <v>4</v>
      </c>
      <c r="GX71" s="1">
        <f t="shared" si="382"/>
        <v>3</v>
      </c>
      <c r="GY71" s="1">
        <f t="shared" si="382"/>
        <v>2.4</v>
      </c>
      <c r="GZ71" s="1"/>
      <c r="HA71" s="1">
        <f t="shared" ref="HA71:HE71" si="383">AVERAGE(HA41:HA70)</f>
        <v>1.8333333333333333</v>
      </c>
      <c r="HB71" s="1">
        <f t="shared" si="383"/>
        <v>1.8333333333333333</v>
      </c>
      <c r="HC71" s="1">
        <f t="shared" si="383"/>
        <v>1.8333333333333333</v>
      </c>
      <c r="HD71" s="1">
        <f t="shared" si="383"/>
        <v>3.1666666666666665</v>
      </c>
      <c r="HE71" s="1">
        <f t="shared" si="383"/>
        <v>3.3333333333333335</v>
      </c>
    </row>
    <row r="72" spans="1:213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</row>
    <row r="73" spans="1:213" x14ac:dyDescent="0.25">
      <c r="A73" t="s">
        <v>239</v>
      </c>
      <c r="E73" s="1">
        <f>AVERAGE(E7,E11,E15,E18,E25,E29,E36,E71)</f>
        <v>2.8125</v>
      </c>
      <c r="F73" s="1">
        <f t="shared" ref="F73:H73" si="384">AVERAGE(F7,F11,F15,F18,F25,F29,F36,F71)</f>
        <v>1.7124999999999999</v>
      </c>
      <c r="G73" s="1">
        <f t="shared" si="384"/>
        <v>1.6208333333333333</v>
      </c>
      <c r="H73" s="1">
        <f t="shared" si="384"/>
        <v>2.5874999999999999</v>
      </c>
      <c r="I73" s="1">
        <f t="shared" ref="I73" si="385">AVERAGE(I7,I11,I15,I22,I25,I29,I36,I71)</f>
        <v>1.5833333333333333</v>
      </c>
      <c r="J73" s="1"/>
      <c r="K73" s="1">
        <f t="shared" ref="K73:N73" si="386">AVERAGE(K7,K11,K15,K18,K25,K29,K36,K71)</f>
        <v>3.3833333333333333</v>
      </c>
      <c r="L73" s="1">
        <f t="shared" si="386"/>
        <v>3.1708333333333334</v>
      </c>
      <c r="M73" s="1">
        <f t="shared" si="386"/>
        <v>2.8958333333333335</v>
      </c>
      <c r="N73" s="1">
        <f t="shared" si="386"/>
        <v>3.7083333333333335</v>
      </c>
      <c r="O73" s="1">
        <f t="shared" ref="O73" si="387">AVERAGE(O7,O11,O15,O22,O25,O29,O36,O71)</f>
        <v>2.1666666666666665</v>
      </c>
      <c r="P73" s="1"/>
      <c r="Q73" s="1">
        <f t="shared" ref="Q73:T73" si="388">AVERAGE(Q7,Q11,Q15,Q18,Q25,Q29,Q36,Q71)</f>
        <v>2.8785714285714286</v>
      </c>
      <c r="R73" s="1">
        <f t="shared" si="388"/>
        <v>2.9410714285714286</v>
      </c>
      <c r="S73" s="1">
        <f t="shared" si="388"/>
        <v>2.2303571428571427</v>
      </c>
      <c r="T73" s="1">
        <f t="shared" si="388"/>
        <v>1.8821428571428571</v>
      </c>
      <c r="U73" s="1">
        <f t="shared" ref="U73" si="389">AVERAGE(U7,U11,U15,U22,U25,U29,U36,U71)</f>
        <v>3.8339285714285718</v>
      </c>
      <c r="V73" s="1"/>
      <c r="W73" s="1">
        <f t="shared" ref="W73:Z73" si="390">AVERAGE(W7,W11,W15,W18,W25,W29,W36,W71)</f>
        <v>3.469642857142857</v>
      </c>
      <c r="X73" s="1">
        <f t="shared" si="390"/>
        <v>2.8767857142857145</v>
      </c>
      <c r="Y73" s="1">
        <f t="shared" si="390"/>
        <v>3.6714285714285717</v>
      </c>
      <c r="Z73" s="1">
        <f t="shared" si="390"/>
        <v>2.9375</v>
      </c>
      <c r="AA73" s="1">
        <f t="shared" ref="AA73" si="391">AVERAGE(AA7,AA11,AA15,AA22,AA25,AA29,AA36,AA71)</f>
        <v>3.7285714285714282</v>
      </c>
      <c r="AB73" s="1"/>
      <c r="AC73" s="1">
        <f t="shared" ref="AC73:AF73" si="392">AVERAGE(AC7,AC11,AC15,AC18,AC25,AC29,AC36,AC71)</f>
        <v>2.9249999999999998</v>
      </c>
      <c r="AD73" s="1">
        <f t="shared" si="392"/>
        <v>2.9499999999999997</v>
      </c>
      <c r="AE73" s="1">
        <f t="shared" si="392"/>
        <v>3.05</v>
      </c>
      <c r="AF73" s="1">
        <f t="shared" si="392"/>
        <v>1.9875</v>
      </c>
      <c r="AG73" s="1">
        <f t="shared" ref="AG73" si="393">AVERAGE(AG7,AG11,AG15,AG22,AG25,AG29,AG36,AG71)</f>
        <v>3.9</v>
      </c>
      <c r="AH73" s="1"/>
      <c r="AI73" s="1">
        <f t="shared" ref="AI73:AL73" si="394">AVERAGE(AI7,AI11,AI15,AI18,AI25,AI29,AI36,AI71)</f>
        <v>1.3541666666666667</v>
      </c>
      <c r="AJ73" s="1">
        <f t="shared" si="394"/>
        <v>1.3875</v>
      </c>
      <c r="AK73" s="1">
        <f t="shared" si="394"/>
        <v>3.3875000000000002</v>
      </c>
      <c r="AL73" s="1">
        <f t="shared" si="394"/>
        <v>3.7875000000000001</v>
      </c>
      <c r="AM73" s="1">
        <f t="shared" ref="AM73" si="395">AVERAGE(AM7,AM11,AM15,AM22,AM25,AM29,AM36,AM71)</f>
        <v>3.8374999999999999</v>
      </c>
      <c r="AN73" s="1"/>
      <c r="AO73" s="1">
        <f t="shared" ref="AO73:AR73" si="396">AVERAGE(AO7,AO11,AO15,AO18,AO25,AO29,AO36,AO71)</f>
        <v>2.4874999999999998</v>
      </c>
      <c r="AP73" s="1">
        <f t="shared" si="396"/>
        <v>3.3017857142857143</v>
      </c>
      <c r="AQ73" s="1">
        <f t="shared" si="396"/>
        <v>2.4589285714285718</v>
      </c>
      <c r="AR73" s="1">
        <f t="shared" si="396"/>
        <v>3.3589285714285717</v>
      </c>
      <c r="AS73" s="1">
        <f t="shared" ref="AS73" si="397">AVERAGE(AS7,AS11,AS15,AS22,AS25,AS29,AS36,AS71)</f>
        <v>2.4821428571428572</v>
      </c>
      <c r="AT73" s="1"/>
      <c r="AU73" s="1">
        <f t="shared" ref="AU73:AX73" si="398">AVERAGE(AU7,AU11,AU15,AU18,AU25,AU29,AU36,AU71)</f>
        <v>2.5375000000000001</v>
      </c>
      <c r="AV73" s="1">
        <f t="shared" si="398"/>
        <v>1.925</v>
      </c>
      <c r="AW73" s="1">
        <f t="shared" si="398"/>
        <v>2.8250000000000002</v>
      </c>
      <c r="AX73" s="1">
        <f t="shared" si="398"/>
        <v>1.4749999999999999</v>
      </c>
      <c r="AY73" s="1">
        <f t="shared" ref="AY73" si="399">AVERAGE(AY7,AY11,AY15,AY22,AY25,AY29,AY36,AY71)</f>
        <v>1.6375</v>
      </c>
      <c r="AZ73" s="1"/>
      <c r="BA73" s="1">
        <f t="shared" ref="BA73:BD73" si="400">AVERAGE(BA7,BA11,BA15,BA18,BA25,BA29,BA36,BA71)</f>
        <v>3.0958333333333337</v>
      </c>
      <c r="BB73" s="1">
        <f t="shared" si="400"/>
        <v>2.2124999999999999</v>
      </c>
      <c r="BC73" s="1">
        <f t="shared" si="400"/>
        <v>3.9666666666666663</v>
      </c>
      <c r="BD73" s="1">
        <f t="shared" si="400"/>
        <v>3.3208333333333333</v>
      </c>
      <c r="BE73" s="1">
        <f t="shared" ref="BE73" si="401">AVERAGE(BE7,BE11,BE15,BE22,BE25,BE29,BE36,BE71)</f>
        <v>4.166666666666667</v>
      </c>
      <c r="BF73" s="1"/>
      <c r="BG73" s="1">
        <f t="shared" ref="BG73:BJ73" si="402">AVERAGE(BG7,BG11,BG15,BG18,BG25,BG29,BG36,BG71)</f>
        <v>2.3875000000000002</v>
      </c>
      <c r="BH73" s="1">
        <f t="shared" si="402"/>
        <v>2.8250000000000002</v>
      </c>
      <c r="BI73" s="1">
        <f t="shared" si="402"/>
        <v>2.0625</v>
      </c>
      <c r="BJ73" s="1">
        <f t="shared" si="402"/>
        <v>2.2375000000000003</v>
      </c>
      <c r="BK73" s="1">
        <f t="shared" ref="BK73" si="403">AVERAGE(BK7,BK11,BK15,BK22,BK25,BK29,BK36,BK71)</f>
        <v>3.375</v>
      </c>
      <c r="BL73" s="1"/>
      <c r="BM73" s="1">
        <f t="shared" ref="BM73:BP73" si="404">AVERAGE(BM7,BM11,BM15,BM18,BM25,BM29,BM36,BM71)</f>
        <v>2.9291666666666667</v>
      </c>
      <c r="BN73" s="1">
        <f t="shared" si="404"/>
        <v>1.5541666666666667</v>
      </c>
      <c r="BO73" s="1">
        <f t="shared" si="404"/>
        <v>3.5625</v>
      </c>
      <c r="BP73" s="1">
        <f t="shared" si="404"/>
        <v>1.7708333333333333</v>
      </c>
      <c r="BQ73" s="1">
        <f t="shared" ref="BQ73" si="405">AVERAGE(BQ7,BQ11,BQ15,BQ22,BQ25,BQ29,BQ36,BQ71)</f>
        <v>2.5</v>
      </c>
      <c r="BR73" s="1"/>
      <c r="BS73" s="1">
        <f t="shared" ref="BS73:BV73" si="406">AVERAGE(BS7,BS11,BS15,BS18,BS25,BS29,BS36,BS71)</f>
        <v>2.9</v>
      </c>
      <c r="BT73" s="1">
        <f t="shared" si="406"/>
        <v>3.2958333333333334</v>
      </c>
      <c r="BU73" s="1">
        <f t="shared" si="406"/>
        <v>2.6708333333333334</v>
      </c>
      <c r="BV73" s="1">
        <f t="shared" si="406"/>
        <v>3.2333333333333334</v>
      </c>
      <c r="BW73" s="1">
        <f t="shared" ref="BW73" si="407">AVERAGE(BW7,BW11,BW15,BW22,BW25,BW29,BW36,BW71)</f>
        <v>2.6749999999999998</v>
      </c>
      <c r="BX73" s="1"/>
      <c r="BY73" s="1">
        <f t="shared" ref="BY73:CB73" si="408">AVERAGE(BY7,BY11,BY15,BY18,BY25,BY29,BY36,BY71)</f>
        <v>2.8624999999999998</v>
      </c>
      <c r="BZ73" s="1">
        <f t="shared" si="408"/>
        <v>3.4416666666666664</v>
      </c>
      <c r="CA73" s="1">
        <f t="shared" si="408"/>
        <v>2.9624999999999999</v>
      </c>
      <c r="CB73" s="1">
        <f t="shared" si="408"/>
        <v>3.45</v>
      </c>
      <c r="CC73" s="1">
        <f t="shared" ref="CC73" si="409">AVERAGE(CC7,CC11,CC15,CC22,CC25,CC29,CC36,CC71)</f>
        <v>2.8875000000000002</v>
      </c>
      <c r="CD73" s="1"/>
      <c r="CE73" s="1">
        <f t="shared" ref="CE73:CH73" si="410">AVERAGE(CE7,CE11,CE15,CE18,CE25,CE29,CE36,CE71)</f>
        <v>2.9291666666666667</v>
      </c>
      <c r="CF73" s="1">
        <f t="shared" si="410"/>
        <v>2.2416666666666667</v>
      </c>
      <c r="CG73" s="1">
        <f t="shared" si="410"/>
        <v>3.6041666666666665</v>
      </c>
      <c r="CH73" s="1">
        <f t="shared" si="410"/>
        <v>2.3708333333333336</v>
      </c>
      <c r="CI73" s="1">
        <f t="shared" ref="CI73" si="411">AVERAGE(CI7,CI11,CI15,CI22,CI25,CI29,CI36,CI71)</f>
        <v>4.0374999999999996</v>
      </c>
      <c r="CJ73" s="1"/>
      <c r="CK73" s="1">
        <f t="shared" ref="CK73:CN73" si="412">AVERAGE(CK7,CK11,CK15,CK18,CK25,CK29,CK36,CK71)</f>
        <v>3.2303571428571427</v>
      </c>
      <c r="CL73" s="1">
        <f t="shared" si="412"/>
        <v>2.9410714285714286</v>
      </c>
      <c r="CM73" s="1">
        <f t="shared" si="412"/>
        <v>2.3267857142857142</v>
      </c>
      <c r="CN73" s="1">
        <f t="shared" si="412"/>
        <v>2.4785714285714282</v>
      </c>
      <c r="CO73" s="1">
        <f t="shared" ref="CO73" si="413">AVERAGE(CO7,CO11,CO15,CO22,CO25,CO29,CO36,CO71)</f>
        <v>4.1107142857142858</v>
      </c>
      <c r="CP73" s="1"/>
      <c r="CQ73" s="1">
        <f t="shared" ref="CQ73:CT73" si="414">AVERAGE(CQ7,CQ11,CQ15,CQ18,CQ25,CQ29,CQ36,CQ71)</f>
        <v>2.7916666666666665</v>
      </c>
      <c r="CR73" s="1">
        <f t="shared" si="414"/>
        <v>2.9291666666666667</v>
      </c>
      <c r="CS73" s="1">
        <f t="shared" si="414"/>
        <v>2.7374999999999998</v>
      </c>
      <c r="CT73" s="1">
        <f t="shared" si="414"/>
        <v>3.5833333333333335</v>
      </c>
      <c r="CU73" s="1">
        <f t="shared" ref="CU73" si="415">AVERAGE(CU7,CU11,CU15,CU22,CU25,CU29,CU36,CU71)</f>
        <v>1.6125</v>
      </c>
      <c r="CV73" s="1"/>
      <c r="CW73" s="1">
        <f t="shared" ref="CW73:CZ73" si="416">AVERAGE(CW7,CW11,CW15,CW18,CW25,CW29,CW36,CW71)</f>
        <v>3.5750000000000002</v>
      </c>
      <c r="CX73" s="1">
        <f t="shared" si="416"/>
        <v>2.1124999999999998</v>
      </c>
      <c r="CY73" s="1">
        <f t="shared" si="416"/>
        <v>2.7124999999999999</v>
      </c>
      <c r="CZ73" s="1">
        <f t="shared" si="416"/>
        <v>2.6875</v>
      </c>
      <c r="DA73" s="1">
        <f t="shared" ref="DA73" si="417">AVERAGE(DA7,DA11,DA15,DA22,DA25,DA29,DA36,DA71)</f>
        <v>4.0041666666666664</v>
      </c>
      <c r="DB73" s="1"/>
      <c r="DC73" s="1">
        <f t="shared" ref="DC73:DF73" si="418">AVERAGE(DC7,DC11,DC15,DC18,DC25,DC29,DC36,DC71)</f>
        <v>3.1083333333333334</v>
      </c>
      <c r="DD73" s="1">
        <f t="shared" si="418"/>
        <v>2.8041666666666667</v>
      </c>
      <c r="DE73" s="1">
        <f t="shared" si="418"/>
        <v>3.3166666666666664</v>
      </c>
      <c r="DF73" s="1">
        <f t="shared" si="418"/>
        <v>2.8291666666666666</v>
      </c>
      <c r="DG73" s="1">
        <f t="shared" ref="DG73" si="419">AVERAGE(DG7,DG11,DG15,DG22,DG25,DG29,DG36,DG71)</f>
        <v>2.7291666666666665</v>
      </c>
      <c r="DH73" s="1"/>
      <c r="DI73" s="1">
        <f t="shared" ref="DI73:DL73" si="420">AVERAGE(DI7,DI11,DI15,DI18,DI25,DI29,DI36,DI71)</f>
        <v>2.0625</v>
      </c>
      <c r="DJ73" s="1">
        <f t="shared" si="420"/>
        <v>1.7041666666666668</v>
      </c>
      <c r="DK73" s="1">
        <f t="shared" si="420"/>
        <v>3.0416666666666665</v>
      </c>
      <c r="DL73" s="1">
        <f t="shared" si="420"/>
        <v>1.6833333333333333</v>
      </c>
      <c r="DM73" s="1">
        <f t="shared" ref="DM73" si="421">AVERAGE(DM7,DM11,DM15,DM22,DM25,DM29,DM36,DM71)</f>
        <v>4.2041666666666666</v>
      </c>
      <c r="DN73" s="1"/>
      <c r="DO73" s="1">
        <f t="shared" ref="DO73:DR73" si="422">AVERAGE(DO7,DO11,DO15,DO18,DO25,DO29,DO36,DO71)</f>
        <v>2.0958333333333332</v>
      </c>
      <c r="DP73" s="1">
        <f t="shared" si="422"/>
        <v>1.6708333333333332</v>
      </c>
      <c r="DQ73" s="1">
        <f t="shared" si="422"/>
        <v>3.0916666666666663</v>
      </c>
      <c r="DR73" s="1">
        <f t="shared" si="422"/>
        <v>2.25</v>
      </c>
      <c r="DS73" s="1">
        <f t="shared" ref="DS73" si="423">AVERAGE(DS7,DS11,DS15,DS22,DS25,DS29,DS36,DS71)</f>
        <v>2.875</v>
      </c>
      <c r="DT73" s="1"/>
      <c r="DU73" s="1">
        <f t="shared" ref="DU73:DX73" si="424">AVERAGE(DU7,DU11,DU15,DU18,DU25,DU29,DU36,DU71)</f>
        <v>2.9535714285714283</v>
      </c>
      <c r="DV73" s="1">
        <f t="shared" si="424"/>
        <v>3.2</v>
      </c>
      <c r="DW73" s="1">
        <f t="shared" si="424"/>
        <v>2.8321428571428573</v>
      </c>
      <c r="DX73" s="1">
        <f t="shared" si="424"/>
        <v>2.9642857142857144</v>
      </c>
      <c r="DY73" s="1">
        <f t="shared" ref="DY73" si="425">AVERAGE(DY7,DY11,DY15,DY22,DY25,DY29,DY36,DY71)</f>
        <v>2.6053571428571427</v>
      </c>
      <c r="DZ73" s="1"/>
      <c r="EA73" s="1">
        <f t="shared" ref="EA73:ED73" si="426">AVERAGE(EA7,EA11,EA15,EA18,EA25,EA29,EA36,EA71)</f>
        <v>4.0803571428571432</v>
      </c>
      <c r="EB73" s="1">
        <f t="shared" si="426"/>
        <v>1.7035714285714285</v>
      </c>
      <c r="EC73" s="1">
        <f t="shared" si="426"/>
        <v>3.4375</v>
      </c>
      <c r="ED73" s="1">
        <f t="shared" si="426"/>
        <v>1.9285714285714286</v>
      </c>
      <c r="EE73" s="1">
        <f t="shared" ref="EE73" si="427">AVERAGE(EE7,EE11,EE15,EE22,EE25,EE29,EE36,EE71)</f>
        <v>3.9267857142857143</v>
      </c>
      <c r="EF73" s="1"/>
      <c r="EG73" s="1">
        <f t="shared" ref="EG73:EJ73" si="428">AVERAGE(EG7,EG11,EG15,EG18,EG25,EG29,EG36,EG71)</f>
        <v>2.9833333333333334</v>
      </c>
      <c r="EH73" s="1">
        <f t="shared" si="428"/>
        <v>2.8125</v>
      </c>
      <c r="EI73" s="1">
        <f t="shared" si="428"/>
        <v>3.6708333333333334</v>
      </c>
      <c r="EJ73" s="1">
        <f t="shared" si="428"/>
        <v>3.5208333333333335</v>
      </c>
      <c r="EK73" s="1">
        <f t="shared" ref="EK73" si="429">AVERAGE(EK7,EK11,EK15,EK22,EK25,EK29,EK36,EK71)</f>
        <v>3.3833333333333333</v>
      </c>
      <c r="EL73" s="1"/>
      <c r="EM73" s="1">
        <f t="shared" ref="EM73:EP73" si="430">AVERAGE(EM7,EM11,EM15,EM18,EM25,EM29,EM36,EM71)</f>
        <v>3.4624999999999999</v>
      </c>
      <c r="EN73" s="1">
        <f t="shared" si="430"/>
        <v>2.1875</v>
      </c>
      <c r="EO73" s="1">
        <f t="shared" si="430"/>
        <v>3.4375</v>
      </c>
      <c r="EP73" s="1">
        <f t="shared" si="430"/>
        <v>2.5</v>
      </c>
      <c r="EQ73" s="1">
        <f t="shared" ref="EQ73" si="431">AVERAGE(EQ7,EQ11,EQ15,EQ22,EQ25,EQ29,EQ36,EQ71)</f>
        <v>3.1625000000000001</v>
      </c>
      <c r="ER73" s="1"/>
      <c r="ES73" s="1">
        <f t="shared" ref="ES73:EV73" si="432">AVERAGE(ES7,ES11,ES15,ES18,ES25,ES29,ES36,ES71)</f>
        <v>2.2250000000000001</v>
      </c>
      <c r="ET73" s="1">
        <f t="shared" si="432"/>
        <v>1.4749999999999999</v>
      </c>
      <c r="EU73" s="1">
        <f t="shared" si="432"/>
        <v>3.1500000000000004</v>
      </c>
      <c r="EV73" s="1">
        <f t="shared" si="432"/>
        <v>3.0249999999999999</v>
      </c>
      <c r="EW73" s="1">
        <f t="shared" ref="EW73" si="433">AVERAGE(EW7,EW11,EW15,EW22,EW25,EW29,EW36,EW71)</f>
        <v>3.5625</v>
      </c>
      <c r="EX73" s="1"/>
      <c r="EY73" s="1">
        <f t="shared" ref="EY73:FB73" si="434">AVERAGE(EY7,EY11,EY15,EY18,EY25,EY29,EY36,EY71)</f>
        <v>4.0125000000000002</v>
      </c>
      <c r="EZ73" s="1">
        <f t="shared" si="434"/>
        <v>2.0874999999999999</v>
      </c>
      <c r="FA73" s="1">
        <f t="shared" si="434"/>
        <v>2.75</v>
      </c>
      <c r="FB73" s="1">
        <f t="shared" si="434"/>
        <v>1.8875</v>
      </c>
      <c r="FC73" s="1">
        <f t="shared" ref="FC73" si="435">AVERAGE(FC7,FC11,FC15,FC22,FC25,FC29,FC36,FC71)</f>
        <v>3.05</v>
      </c>
      <c r="FD73" s="1"/>
      <c r="FE73" s="1">
        <f t="shared" ref="FE73:FH73" si="436">AVERAGE(FE7,FE11,FE15,FE18,FE25,FE29,FE36,FE71)</f>
        <v>3.4750000000000001</v>
      </c>
      <c r="FF73" s="1">
        <f t="shared" si="436"/>
        <v>1.6500000000000001</v>
      </c>
      <c r="FG73" s="1">
        <f t="shared" si="436"/>
        <v>2.8625000000000003</v>
      </c>
      <c r="FH73" s="1">
        <f t="shared" si="436"/>
        <v>3.5874999999999999</v>
      </c>
      <c r="FI73" s="1">
        <f t="shared" ref="FI73" si="437">AVERAGE(FI7,FI11,FI15,FI22,FI25,FI29,FI36,FI71)</f>
        <v>2.5124999999999997</v>
      </c>
      <c r="FJ73" s="1"/>
      <c r="FK73" s="1">
        <f t="shared" ref="FK73:FN73" si="438">AVERAGE(FK7,FK11,FK15,FK18,FK25,FK29,FK36,FK71)</f>
        <v>3.5</v>
      </c>
      <c r="FL73" s="1">
        <f t="shared" si="438"/>
        <v>2.0964285714285715</v>
      </c>
      <c r="FM73" s="1">
        <f t="shared" si="438"/>
        <v>3.0625</v>
      </c>
      <c r="FN73" s="1">
        <f t="shared" si="438"/>
        <v>3</v>
      </c>
      <c r="FO73" s="1">
        <f t="shared" ref="FO73" si="439">AVERAGE(FO7,FO11,FO15,FO22,FO25,FO29,FO36,FO71)</f>
        <v>3.5285714285714285</v>
      </c>
      <c r="FP73" s="1"/>
      <c r="FQ73" s="1">
        <f t="shared" ref="FQ73:FT73" si="440">AVERAGE(FQ7,FQ11,FQ15,FQ18,FQ25,FQ29,FQ36,FQ71)</f>
        <v>2.5708333333333333</v>
      </c>
      <c r="FR73" s="1">
        <f t="shared" si="440"/>
        <v>3.0833333333333335</v>
      </c>
      <c r="FS73" s="1">
        <f t="shared" si="440"/>
        <v>3.3916666666666666</v>
      </c>
      <c r="FT73" s="1">
        <f t="shared" si="440"/>
        <v>2.8291666666666666</v>
      </c>
      <c r="FU73" s="1">
        <f t="shared" ref="FU73" si="441">AVERAGE(FU7,FU11,FU15,FU22,FU25,FU29,FU36,FU71)</f>
        <v>3.5</v>
      </c>
      <c r="FV73" s="1"/>
      <c r="FW73" s="1">
        <f t="shared" ref="FW73:FZ73" si="442">AVERAGE(FW7,FW11,FW15,FW18,FW25,FW29,FW36,FW71)</f>
        <v>1.9321428571428572</v>
      </c>
      <c r="FX73" s="1">
        <f t="shared" si="442"/>
        <v>1.5535714285714286</v>
      </c>
      <c r="FY73" s="1">
        <f t="shared" si="442"/>
        <v>3.219642857142857</v>
      </c>
      <c r="FZ73" s="1">
        <f t="shared" si="442"/>
        <v>1.6392857142857142</v>
      </c>
      <c r="GA73" s="1">
        <f t="shared" ref="GA73" si="443">AVERAGE(GA7,GA11,GA15,GA22,GA25,GA29,GA36,GA71)</f>
        <v>3.8875000000000002</v>
      </c>
      <c r="GB73" s="1"/>
      <c r="GC73" s="1">
        <f t="shared" ref="GC73:GF73" si="444">AVERAGE(GC7,GC11,GC15,GC18,GC25,GC29,GC36,GC71)</f>
        <v>3.3374999999999999</v>
      </c>
      <c r="GD73" s="1">
        <f t="shared" si="444"/>
        <v>2.4666666666666663</v>
      </c>
      <c r="GE73" s="1">
        <f t="shared" si="444"/>
        <v>3.3875000000000002</v>
      </c>
      <c r="GF73" s="1">
        <f t="shared" si="444"/>
        <v>2.8833333333333333</v>
      </c>
      <c r="GG73" s="1">
        <f t="shared" ref="GG73" si="445">AVERAGE(GG7,GG11,GG15,GG22,GG25,GG29,GG36,GG71)</f>
        <v>1.2</v>
      </c>
      <c r="GH73" s="1"/>
      <c r="GI73" s="1">
        <f t="shared" ref="GI73:GL73" si="446">AVERAGE(GI7,GI11,GI15,GI18,GI25,GI29,GI36,GI71)</f>
        <v>3.4</v>
      </c>
      <c r="GJ73" s="1">
        <f t="shared" si="446"/>
        <v>3.15</v>
      </c>
      <c r="GK73" s="1">
        <f t="shared" si="446"/>
        <v>3.4124999999999996</v>
      </c>
      <c r="GL73" s="1">
        <f t="shared" si="446"/>
        <v>2.85</v>
      </c>
      <c r="GM73" s="1">
        <f t="shared" ref="GM73" si="447">AVERAGE(GM7,GM11,GM15,GM22,GM25,GM29,GM36,GM71)</f>
        <v>2.3250000000000002</v>
      </c>
      <c r="GN73" s="1"/>
      <c r="GO73" s="1">
        <f t="shared" ref="GO73:GR73" si="448">AVERAGE(GO7,GO11,GO15,GO18,GO25,GO29,GO36,GO71)</f>
        <v>2.7285714285714282</v>
      </c>
      <c r="GP73" s="1">
        <f t="shared" si="448"/>
        <v>2.9</v>
      </c>
      <c r="GQ73" s="1">
        <f t="shared" si="448"/>
        <v>2.9839285714285717</v>
      </c>
      <c r="GR73" s="1">
        <f t="shared" si="448"/>
        <v>2.8089285714285714</v>
      </c>
      <c r="GS73" s="1">
        <f t="shared" ref="GS73" si="449">AVERAGE(GS7,GS11,GS15,GS22,GS25,GS29,GS36,GS71)</f>
        <v>2.9446428571428571</v>
      </c>
      <c r="GT73" s="1"/>
      <c r="GU73" s="1">
        <f t="shared" ref="GU73:GX73" si="450">AVERAGE(GU7,GU11,GU15,GU18,GU25,GU29,GU36,GU71)</f>
        <v>3.3874999999999997</v>
      </c>
      <c r="GV73" s="1">
        <f t="shared" si="450"/>
        <v>2.4874999999999998</v>
      </c>
      <c r="GW73" s="1">
        <f t="shared" si="450"/>
        <v>3.875</v>
      </c>
      <c r="GX73" s="1">
        <f t="shared" si="450"/>
        <v>3.1124999999999998</v>
      </c>
      <c r="GY73" s="1">
        <f t="shared" ref="GY73" si="451">AVERAGE(GY7,GY11,GY15,GY22,GY25,GY29,GY36,GY71)</f>
        <v>3.0999999999999996</v>
      </c>
      <c r="GZ73" s="1"/>
      <c r="HA73" s="1">
        <f t="shared" ref="HA73:HD73" si="452">AVERAGE(HA7,HA11,HA15,HA18,HA25,HA29,HA36,HA71)</f>
        <v>3.3916666666666666</v>
      </c>
      <c r="HB73" s="1">
        <f t="shared" si="452"/>
        <v>2.8291666666666666</v>
      </c>
      <c r="HC73" s="1">
        <f t="shared" si="452"/>
        <v>2.8416666666666663</v>
      </c>
      <c r="HD73" s="1">
        <f t="shared" si="452"/>
        <v>3.7583333333333333</v>
      </c>
      <c r="HE73" s="1">
        <f t="shared" ref="HE73" si="453">AVERAGE(HE7,HE11,HE15,HE22,HE25,HE29,HE36,HE71)</f>
        <v>3.6291666666666664</v>
      </c>
    </row>
    <row r="74" spans="1:213" x14ac:dyDescent="0.25">
      <c r="A74" t="s">
        <v>240</v>
      </c>
      <c r="E74" s="1">
        <f>AVERAGE(E7,E11,E15,E18,E25,E29,E36,E41:E70)</f>
        <v>2.6923076923076925</v>
      </c>
      <c r="F74" s="1">
        <f t="shared" ref="F74:H74" si="454">AVERAGE(F7,F11,F15,F18,F25,F29,F36,F41:F70)</f>
        <v>1.6307692307692307</v>
      </c>
      <c r="G74" s="1">
        <f t="shared" si="454"/>
        <v>1.6384615384615384</v>
      </c>
      <c r="H74" s="1">
        <f t="shared" si="454"/>
        <v>2.5538461538461541</v>
      </c>
      <c r="I74" s="1">
        <f>AVERAGE(I7,I11,I15,I18,I22,I25,I29,I36,I41:I70)</f>
        <v>1.4642857142857142</v>
      </c>
      <c r="J74" s="1"/>
      <c r="K74" s="1">
        <f t="shared" ref="K74:N74" si="455">AVERAGE(K7,K11,K15,K18,K25,K29,K36,K41:K70)</f>
        <v>3.3</v>
      </c>
      <c r="L74" s="1">
        <f t="shared" si="455"/>
        <v>2.7846153846153849</v>
      </c>
      <c r="M74" s="1">
        <f t="shared" si="455"/>
        <v>2.4230769230769229</v>
      </c>
      <c r="N74" s="1">
        <f t="shared" si="455"/>
        <v>3.6923076923076925</v>
      </c>
      <c r="O74" s="1">
        <f t="shared" ref="O74" si="456">AVERAGE(O7,O11,O15,O18,O22,O25,O29,O36,O41:O70)</f>
        <v>2.1071428571428572</v>
      </c>
      <c r="P74" s="1"/>
      <c r="Q74" s="1">
        <f t="shared" ref="Q74:T74" si="457">AVERAGE(Q7,Q11,Q15,Q18,Q25,Q29,Q36,Q41:Q70)</f>
        <v>2.6857142857142859</v>
      </c>
      <c r="R74" s="1">
        <f t="shared" si="457"/>
        <v>2.7214285714285715</v>
      </c>
      <c r="S74" s="1">
        <f t="shared" si="457"/>
        <v>2.1928571428571426</v>
      </c>
      <c r="T74" s="1">
        <f t="shared" si="457"/>
        <v>1.8714285714285714</v>
      </c>
      <c r="U74" s="1">
        <f t="shared" ref="U74" si="458">AVERAGE(U7,U11,U15,U18,U22,U25,U29,U36,U41:U70)</f>
        <v>3.2733333333333334</v>
      </c>
      <c r="V74" s="1"/>
      <c r="W74" s="1">
        <f t="shared" ref="W74:Z74" si="459">AVERAGE(W7,W11,W15,W18,W25,W29,W36,W41:W70)</f>
        <v>3.2071428571428569</v>
      </c>
      <c r="X74" s="1">
        <f t="shared" si="459"/>
        <v>2.8071428571428569</v>
      </c>
      <c r="Y74" s="1">
        <f t="shared" si="459"/>
        <v>3.6285714285714286</v>
      </c>
      <c r="Z74" s="1">
        <f t="shared" si="459"/>
        <v>2.9642857142857144</v>
      </c>
      <c r="AA74" s="1">
        <f t="shared" ref="AA74" si="460">AVERAGE(AA7,AA11,AA15,AA18,AA22,AA25,AA29,AA36,AA41:AA70)</f>
        <v>3.4933333333333332</v>
      </c>
      <c r="AB74" s="1"/>
      <c r="AC74" s="1">
        <f t="shared" ref="AC74:AF74" si="461">AVERAGE(AC7,AC11,AC15,AC18,AC25,AC29,AC36,AC41:AC70)</f>
        <v>2.9499999999999997</v>
      </c>
      <c r="AD74" s="1">
        <f t="shared" si="461"/>
        <v>2.7666666666666671</v>
      </c>
      <c r="AE74" s="1">
        <f t="shared" si="461"/>
        <v>2.6999999999999997</v>
      </c>
      <c r="AF74" s="1">
        <f t="shared" si="461"/>
        <v>1.6583333333333332</v>
      </c>
      <c r="AG74" s="1">
        <f t="shared" ref="AG74" si="462">AVERAGE(AG7,AG11,AG15,AG18,AG22,AG25,AG29,AG36,AG41:AG70)</f>
        <v>3.6153846153846154</v>
      </c>
      <c r="AH74" s="1"/>
      <c r="AI74" s="1">
        <f t="shared" ref="AI74:AL74" si="463">AVERAGE(AI7,AI11,AI15,AI18,AI25,AI29,AI36,AI41:AI70)</f>
        <v>1.5384615384615385</v>
      </c>
      <c r="AJ74" s="1">
        <f t="shared" si="463"/>
        <v>1.4307692307692308</v>
      </c>
      <c r="AK74" s="1">
        <f t="shared" si="463"/>
        <v>3.0461538461538464</v>
      </c>
      <c r="AL74" s="1">
        <f t="shared" si="463"/>
        <v>3.4846153846153842</v>
      </c>
      <c r="AM74" s="1">
        <f t="shared" ref="AM74" si="464">AVERAGE(AM7,AM11,AM15,AM18,AM22,AM25,AM29,AM36,AM41:AM70)</f>
        <v>3.3000000000000003</v>
      </c>
      <c r="AN74" s="1"/>
      <c r="AO74" s="1">
        <f t="shared" ref="AO74:AR74" si="465">AVERAGE(AO7,AO11,AO15,AO18,AO25,AO29,AO36,AO41:AO70)</f>
        <v>2.7071428571428569</v>
      </c>
      <c r="AP74" s="1">
        <f t="shared" si="465"/>
        <v>3.4785714285714286</v>
      </c>
      <c r="AQ74" s="1">
        <f t="shared" si="465"/>
        <v>2.5071428571428571</v>
      </c>
      <c r="AR74" s="1">
        <f t="shared" si="465"/>
        <v>3.0214285714285714</v>
      </c>
      <c r="AS74" s="1">
        <f t="shared" ref="AS74" si="466">AVERAGE(AS7,AS11,AS15,AS18,AS22,AS25,AS29,AS36,AS41:AS70)</f>
        <v>2.3333333333333335</v>
      </c>
      <c r="AT74" s="1"/>
      <c r="AU74" s="1">
        <f t="shared" ref="AU74:AX74" si="467">AVERAGE(AU7,AU11,AU15,AU18,AU25,AU29,AU36,AU41:AU70)</f>
        <v>2.5583333333333331</v>
      </c>
      <c r="AV74" s="1">
        <f t="shared" si="467"/>
        <v>1.8166666666666667</v>
      </c>
      <c r="AW74" s="1">
        <f t="shared" si="467"/>
        <v>2.8166666666666664</v>
      </c>
      <c r="AX74" s="1">
        <f t="shared" si="467"/>
        <v>1.3833333333333335</v>
      </c>
      <c r="AY74" s="1">
        <f t="shared" ref="AY74" si="468">AVERAGE(AY7,AY11,AY15,AY18,AY22,AY25,AY29,AY36,AY41:AY70)</f>
        <v>1.5153846153846153</v>
      </c>
      <c r="AZ74" s="1"/>
      <c r="BA74" s="1">
        <f t="shared" ref="BA74:BD74" si="469">AVERAGE(BA7,BA11,BA15,BA18,BA25,BA29,BA36,BA41:BA70)</f>
        <v>2.930769230769231</v>
      </c>
      <c r="BB74" s="1">
        <f t="shared" si="469"/>
        <v>2.1307692307692307</v>
      </c>
      <c r="BC74" s="1">
        <f t="shared" si="469"/>
        <v>3.9153846153846152</v>
      </c>
      <c r="BD74" s="1">
        <f t="shared" si="469"/>
        <v>3.2615384615384615</v>
      </c>
      <c r="BE74" s="1">
        <f t="shared" ref="BE74" si="470">AVERAGE(BE7,BE11,BE15,BE18,BE22,BE25,BE29,BE36,BE41:BE70)</f>
        <v>4</v>
      </c>
      <c r="BF74" s="1"/>
      <c r="BG74" s="1">
        <f t="shared" ref="BG74:BJ74" si="471">AVERAGE(BG7,BG11,BG15,BG18,BG25,BG29,BG36,BG41:BG70)</f>
        <v>2.2583333333333333</v>
      </c>
      <c r="BH74" s="1">
        <f t="shared" si="471"/>
        <v>2.4166666666666665</v>
      </c>
      <c r="BI74" s="1">
        <f t="shared" si="471"/>
        <v>2.1083333333333334</v>
      </c>
      <c r="BJ74" s="1">
        <f t="shared" si="471"/>
        <v>2.0916666666666668</v>
      </c>
      <c r="BK74" s="1">
        <f t="shared" ref="BK74" si="472">AVERAGE(BK7,BK11,BK15,BK18,BK22,BK25,BK29,BK36,BK41:BK70)</f>
        <v>3.0153846153846158</v>
      </c>
      <c r="BL74" s="1"/>
      <c r="BM74" s="1">
        <f t="shared" ref="BM74:BP74" si="473">AVERAGE(BM7,BM11,BM15,BM18,BM25,BM29,BM36,BM41:BM70)</f>
        <v>3.0846153846153848</v>
      </c>
      <c r="BN74" s="1">
        <f t="shared" si="473"/>
        <v>1.6615384615384616</v>
      </c>
      <c r="BO74" s="1">
        <f t="shared" si="473"/>
        <v>3.3461538461538463</v>
      </c>
      <c r="BP74" s="1">
        <f t="shared" si="473"/>
        <v>1.7307692307692308</v>
      </c>
      <c r="BQ74" s="1">
        <f t="shared" ref="BQ74" si="474">AVERAGE(BQ7,BQ11,BQ15,BQ18,BQ22,BQ25,BQ29,BQ36,BQ41:BQ70)</f>
        <v>2.5714285714285716</v>
      </c>
      <c r="BR74" s="1"/>
      <c r="BS74" s="1">
        <f t="shared" ref="BS74:BV74" si="475">AVERAGE(BS7,BS11,BS15,BS18,BS25,BS29,BS36,BS41:BS70)</f>
        <v>2.7461538461538462</v>
      </c>
      <c r="BT74" s="1">
        <f t="shared" si="475"/>
        <v>3.0538461538461541</v>
      </c>
      <c r="BU74" s="1">
        <f t="shared" si="475"/>
        <v>2.476923076923077</v>
      </c>
      <c r="BV74" s="1">
        <f t="shared" si="475"/>
        <v>2.8230769230769233</v>
      </c>
      <c r="BW74" s="1">
        <f t="shared" ref="BW74" si="476">AVERAGE(BW7,BW11,BW15,BW18,BW22,BW25,BW29,BW36,BW41:BW70)</f>
        <v>2.4928571428571429</v>
      </c>
      <c r="BX74" s="1"/>
      <c r="BY74" s="1">
        <f t="shared" ref="BY74:CB74" si="477">AVERAGE(BY7,BY11,BY15,BY18,BY25,BY29,BY36,BY41:BY70)</f>
        <v>2.5307692307692307</v>
      </c>
      <c r="BZ74" s="1">
        <f t="shared" si="477"/>
        <v>3.0153846153846158</v>
      </c>
      <c r="CA74" s="1">
        <f t="shared" si="477"/>
        <v>2.7846153846153849</v>
      </c>
      <c r="CB74" s="1">
        <f t="shared" si="477"/>
        <v>3.2769230769230768</v>
      </c>
      <c r="CC74" s="1">
        <f t="shared" ref="CC74" si="478">AVERAGE(CC7,CC11,CC15,CC18,CC22,CC25,CC29,CC36,CC41:CC70)</f>
        <v>2.6142857142857143</v>
      </c>
      <c r="CD74" s="1"/>
      <c r="CE74" s="1">
        <f t="shared" ref="CE74:CH74" si="479">AVERAGE(CE7,CE11,CE15,CE18,CE25,CE29,CE36,CE41:CE70)</f>
        <v>2.8923076923076922</v>
      </c>
      <c r="CF74" s="1">
        <f t="shared" si="479"/>
        <v>2.2769230769230768</v>
      </c>
      <c r="CG74" s="1">
        <f t="shared" si="479"/>
        <v>3.3076923076923075</v>
      </c>
      <c r="CH74" s="1">
        <f t="shared" si="479"/>
        <v>2.2923076923076922</v>
      </c>
      <c r="CI74" s="1">
        <f t="shared" ref="CI74" si="480">AVERAGE(CI7,CI11,CI15,CI18,CI22,CI25,CI29,CI36,CI41:CI70)</f>
        <v>3.5928571428571425</v>
      </c>
      <c r="CJ74" s="1"/>
      <c r="CK74" s="1">
        <f t="shared" ref="CK74:CN74" si="481">AVERAGE(CK7,CK11,CK15,CK18,CK25,CK29,CK36,CK41:CK70)</f>
        <v>2.7642857142857147</v>
      </c>
      <c r="CL74" s="1">
        <f t="shared" si="481"/>
        <v>2.7214285714285715</v>
      </c>
      <c r="CM74" s="1">
        <f t="shared" si="481"/>
        <v>2.4928571428571429</v>
      </c>
      <c r="CN74" s="1">
        <f t="shared" si="481"/>
        <v>2.4571428571428569</v>
      </c>
      <c r="CO74" s="1">
        <f t="shared" ref="CO74" si="482">AVERAGE(CO7,CO11,CO15,CO18,CO22,CO25,CO29,CO36,CO41:CO70)</f>
        <v>3.7066666666666666</v>
      </c>
      <c r="CP74" s="1"/>
      <c r="CQ74" s="1">
        <f t="shared" ref="CQ74:CT74" si="483">AVERAGE(CQ7,CQ11,CQ15,CQ18,CQ25,CQ29,CQ36,CQ41:CQ70)</f>
        <v>3</v>
      </c>
      <c r="CR74" s="1">
        <f t="shared" si="483"/>
        <v>3.0846153846153848</v>
      </c>
      <c r="CS74" s="1">
        <f t="shared" si="483"/>
        <v>3.0307692307692307</v>
      </c>
      <c r="CT74" s="1">
        <f t="shared" si="483"/>
        <v>3.8076923076923075</v>
      </c>
      <c r="CU74" s="1">
        <f t="shared" ref="CU74" si="484">AVERAGE(CU7,CU11,CU15,CU18,CU22,CU25,CU29,CU36,CU41:CU70)</f>
        <v>1.7071428571428571</v>
      </c>
      <c r="CV74" s="1"/>
      <c r="CW74" s="1">
        <f t="shared" ref="CW74:CZ74" si="485">AVERAGE(CW7,CW11,CW15,CW18,CW25,CW29,CW36,CW41:CW70)</f>
        <v>3.1615384615384619</v>
      </c>
      <c r="CX74" s="1">
        <f t="shared" si="485"/>
        <v>2.069230769230769</v>
      </c>
      <c r="CY74" s="1">
        <f t="shared" si="485"/>
        <v>2.4384615384615382</v>
      </c>
      <c r="CZ74" s="1">
        <f t="shared" si="485"/>
        <v>2.8076923076923075</v>
      </c>
      <c r="DA74" s="1">
        <f t="shared" ref="DA74" si="486">AVERAGE(DA7,DA11,DA15,DA18,DA22,DA25,DA29,DA36,DA41:DA70)</f>
        <v>4.0142857142857142</v>
      </c>
      <c r="DB74" s="1"/>
      <c r="DC74" s="1">
        <f t="shared" ref="DC74:DF74" si="487">AVERAGE(DC7,DC11,DC15,DC18,DC25,DC29,DC36,DC41:DC70)</f>
        <v>2.7461538461538462</v>
      </c>
      <c r="DD74" s="1">
        <f t="shared" si="487"/>
        <v>2.6230769230769231</v>
      </c>
      <c r="DE74" s="1">
        <f t="shared" si="487"/>
        <v>2.9384615384615387</v>
      </c>
      <c r="DF74" s="1">
        <f t="shared" si="487"/>
        <v>2.4461538461538463</v>
      </c>
      <c r="DG74" s="1">
        <f t="shared" ref="DG74" si="488">AVERAGE(DG7,DG11,DG15,DG18,DG22,DG25,DG29,DG36,DG41:DG70)</f>
        <v>2.4642857142857144</v>
      </c>
      <c r="DH74" s="1"/>
      <c r="DI74" s="1">
        <f t="shared" ref="DI74:DL74" si="489">AVERAGE(DI7,DI11,DI15,DI18,DI25,DI29,DI36,DI41:DI70)</f>
        <v>2.0384615384615383</v>
      </c>
      <c r="DJ74" s="1">
        <f t="shared" si="489"/>
        <v>1.7538461538461538</v>
      </c>
      <c r="DK74" s="1">
        <f t="shared" si="489"/>
        <v>2.9615384615384617</v>
      </c>
      <c r="DL74" s="1">
        <f t="shared" si="489"/>
        <v>1.676923076923077</v>
      </c>
      <c r="DM74" s="1">
        <f t="shared" ref="DM74" si="490">AVERAGE(DM7,DM11,DM15,DM18,DM22,DM25,DM29,DM36,DM41:DM70)</f>
        <v>4.1642857142857137</v>
      </c>
      <c r="DN74" s="1"/>
      <c r="DO74" s="1">
        <f t="shared" ref="DO74:DR74" si="491">AVERAGE(DO7,DO11,DO15,DO18,DO25,DO29,DO36,DO41:DO70)</f>
        <v>2.1230769230769231</v>
      </c>
      <c r="DP74" s="1">
        <f t="shared" si="491"/>
        <v>1.4769230769230768</v>
      </c>
      <c r="DQ74" s="1">
        <f t="shared" si="491"/>
        <v>2.8</v>
      </c>
      <c r="DR74" s="1">
        <f t="shared" si="491"/>
        <v>1.9615384615384615</v>
      </c>
      <c r="DS74" s="1">
        <f t="shared" ref="DS74" si="492">AVERAGE(DS7,DS11,DS15,DS18,DS22,DS25,DS29,DS36,DS41:DS70)</f>
        <v>2.75</v>
      </c>
      <c r="DT74" s="1"/>
      <c r="DU74" s="1">
        <f t="shared" ref="DU74:DX74" si="493">AVERAGE(DU7,DU11,DU15,DU18,DU25,DU29,DU36,DU41:DU70)</f>
        <v>2.7285714285714286</v>
      </c>
      <c r="DV74" s="1">
        <f t="shared" si="493"/>
        <v>3.1142857142857143</v>
      </c>
      <c r="DW74" s="1">
        <f t="shared" si="493"/>
        <v>2.8428571428571425</v>
      </c>
      <c r="DX74" s="1">
        <f t="shared" si="493"/>
        <v>2.8571428571428572</v>
      </c>
      <c r="DY74" s="1">
        <f t="shared" ref="DY74" si="494">AVERAGE(DY7,DY11,DY15,DY18,DY22,DY25,DY29,DY36,DY41:DY70)</f>
        <v>2.3800000000000003</v>
      </c>
      <c r="DZ74" s="1"/>
      <c r="EA74" s="1">
        <f t="shared" ref="EA74:ED74" si="495">AVERAGE(EA7,EA11,EA15,EA18,EA25,EA29,EA36,EA41:EA70)</f>
        <v>4.1071428571428568</v>
      </c>
      <c r="EB74" s="1">
        <f t="shared" si="495"/>
        <v>1.5857142857142856</v>
      </c>
      <c r="EC74" s="1">
        <f t="shared" si="495"/>
        <v>3.25</v>
      </c>
      <c r="ED74" s="1">
        <f t="shared" si="495"/>
        <v>2.1428571428571428</v>
      </c>
      <c r="EE74" s="1">
        <f t="shared" ref="EE74" si="496">AVERAGE(EE7,EE11,EE15,EE18,EE22,EE25,EE29,EE36,EE41:EE70)</f>
        <v>3.7133333333333334</v>
      </c>
      <c r="EF74" s="1"/>
      <c r="EG74" s="1">
        <f t="shared" ref="EG74:EJ74" si="497">AVERAGE(EG7,EG11,EG15,EG18,EG25,EG29,EG36,EG41:EG70)</f>
        <v>2.6692307692307695</v>
      </c>
      <c r="EH74" s="1">
        <f t="shared" si="497"/>
        <v>2.5</v>
      </c>
      <c r="EI74" s="1">
        <f t="shared" si="497"/>
        <v>3.476923076923077</v>
      </c>
      <c r="EJ74" s="1">
        <f t="shared" si="497"/>
        <v>3.5769230769230771</v>
      </c>
      <c r="EK74" s="1">
        <f t="shared" ref="EK74" si="498">AVERAGE(EK7,EK11,EK15,EK18,EK22,EK25,EK29,EK36,EK41:EK70)</f>
        <v>3.0285714285714285</v>
      </c>
      <c r="EL74" s="1"/>
      <c r="EM74" s="1">
        <f t="shared" ref="EM74:EP74" si="499">AVERAGE(EM7,EM11,EM15,EM18,EM25,EM29,EM36,EM41:EM70)</f>
        <v>3.2416666666666667</v>
      </c>
      <c r="EN74" s="1">
        <f t="shared" si="499"/>
        <v>1.925</v>
      </c>
      <c r="EO74" s="1">
        <f t="shared" si="499"/>
        <v>3.2250000000000001</v>
      </c>
      <c r="EP74" s="1">
        <f t="shared" si="499"/>
        <v>2.1333333333333333</v>
      </c>
      <c r="EQ74" s="1">
        <f t="shared" ref="EQ74" si="500">AVERAGE(EQ7,EQ11,EQ15,EQ18,EQ22,EQ25,EQ29,EQ36,EQ41:EQ70)</f>
        <v>3.1307692307692312</v>
      </c>
      <c r="ER74" s="1"/>
      <c r="ES74" s="1">
        <f t="shared" ref="ES74:EV74" si="501">AVERAGE(ES7,ES11,ES15,ES18,ES25,ES29,ES36,ES41:ES70)</f>
        <v>2.2833333333333332</v>
      </c>
      <c r="ET74" s="1">
        <f t="shared" si="501"/>
        <v>1.3833333333333335</v>
      </c>
      <c r="EU74" s="1">
        <f t="shared" si="501"/>
        <v>2.9666666666666668</v>
      </c>
      <c r="EV74" s="1">
        <f t="shared" si="501"/>
        <v>2.9499999999999997</v>
      </c>
      <c r="EW74" s="1">
        <f t="shared" ref="EW74" si="502">AVERAGE(EW7,EW11,EW15,EW18,EW22,EW25,EW29,EW36,EW41:EW70)</f>
        <v>3.2538461538461538</v>
      </c>
      <c r="EX74" s="1"/>
      <c r="EY74" s="1">
        <f t="shared" ref="EY74:FB74" si="503">AVERAGE(EY7,EY11,EY15,EY18,EY25,EY29,EY36,EY41:EY70)</f>
        <v>3.8083333333333336</v>
      </c>
      <c r="EZ74" s="1">
        <f t="shared" si="503"/>
        <v>2.0583333333333331</v>
      </c>
      <c r="FA74" s="1">
        <f t="shared" si="503"/>
        <v>2.9</v>
      </c>
      <c r="FB74" s="1">
        <f t="shared" si="503"/>
        <v>2.2583333333333333</v>
      </c>
      <c r="FC74" s="1">
        <f t="shared" ref="FC74" si="504">AVERAGE(FC7,FC11,FC15,FC18,FC22,FC25,FC29,FC36,FC41:FC70)</f>
        <v>2.7846153846153849</v>
      </c>
      <c r="FD74" s="1"/>
      <c r="FE74" s="1">
        <f t="shared" ref="FE74:FH74" si="505">AVERAGE(FE7,FE11,FE15,FE18,FE25,FE29,FE36,FE41:FE70)</f>
        <v>3.3166666666666664</v>
      </c>
      <c r="FF74" s="1">
        <f t="shared" si="505"/>
        <v>1.7</v>
      </c>
      <c r="FG74" s="1">
        <f t="shared" si="505"/>
        <v>2.8416666666666668</v>
      </c>
      <c r="FH74" s="1">
        <f t="shared" si="505"/>
        <v>3.4583333333333335</v>
      </c>
      <c r="FI74" s="1">
        <f t="shared" ref="FI74" si="506">AVERAGE(FI7,FI11,FI15,FI18,FI22,FI25,FI29,FI36,FI41:FI70)</f>
        <v>2.3615384615384616</v>
      </c>
      <c r="FJ74" s="1"/>
      <c r="FK74" s="1">
        <f t="shared" ref="FK74:FN74" si="507">AVERAGE(FK7,FK11,FK15,FK18,FK25,FK29,FK36,FK41:FK70)</f>
        <v>2.8571428571428572</v>
      </c>
      <c r="FL74" s="1">
        <f t="shared" si="507"/>
        <v>1.8714285714285714</v>
      </c>
      <c r="FM74" s="1">
        <f t="shared" si="507"/>
        <v>2.6071428571428572</v>
      </c>
      <c r="FN74" s="1">
        <f t="shared" si="507"/>
        <v>2.5714285714285716</v>
      </c>
      <c r="FO74" s="1">
        <f t="shared" ref="FO74" si="508">AVERAGE(FO7,FO11,FO15,FO18,FO22,FO25,FO29,FO36,FO41:FO70)</f>
        <v>2.92</v>
      </c>
      <c r="FP74" s="1"/>
      <c r="FQ74" s="1">
        <f t="shared" ref="FQ74:FT74" si="509">AVERAGE(FQ7,FQ11,FQ15,FQ18,FQ25,FQ29,FQ36,FQ41:FQ70)</f>
        <v>2.6076923076923078</v>
      </c>
      <c r="FR74" s="1">
        <f t="shared" si="509"/>
        <v>2.9230769230769229</v>
      </c>
      <c r="FS74" s="1">
        <f t="shared" si="509"/>
        <v>3.1769230769230767</v>
      </c>
      <c r="FT74" s="1">
        <f t="shared" si="509"/>
        <v>2.8307692307692305</v>
      </c>
      <c r="FU74" s="1">
        <f t="shared" ref="FU74" si="510">AVERAGE(FU7,FU11,FU15,FU18,FU22,FU25,FU29,FU36,FU41:FU70)</f>
        <v>3.1428571428571428</v>
      </c>
      <c r="FV74" s="1"/>
      <c r="FW74" s="1">
        <f t="shared" ref="FW74:FZ74" si="511">AVERAGE(FW7,FW11,FW15,FW18,FW25,FW29,FW36,FW41:FW70)</f>
        <v>1.9000000000000001</v>
      </c>
      <c r="FX74" s="1">
        <f t="shared" si="511"/>
        <v>1.5</v>
      </c>
      <c r="FY74" s="1">
        <f t="shared" si="511"/>
        <v>3.0642857142857141</v>
      </c>
      <c r="FZ74" s="1">
        <f t="shared" si="511"/>
        <v>1.6714285714285713</v>
      </c>
      <c r="GA74" s="1">
        <f t="shared" ref="GA74" si="512">AVERAGE(GA7,GA11,GA15,GA18,GA22,GA25,GA29,GA36,GA41:GA70)</f>
        <v>3.54</v>
      </c>
      <c r="GB74" s="1"/>
      <c r="GC74" s="1">
        <f t="shared" ref="GC74:GF74" si="513">AVERAGE(GC7,GC11,GC15,GC18,GC25,GC29,GC36,GC41:GC70)</f>
        <v>3.2076923076923078</v>
      </c>
      <c r="GD74" s="1">
        <f t="shared" si="513"/>
        <v>2.2230769230769232</v>
      </c>
      <c r="GE74" s="1">
        <f t="shared" si="513"/>
        <v>3.2384615384615385</v>
      </c>
      <c r="GF74" s="1">
        <f t="shared" si="513"/>
        <v>2.6076923076923078</v>
      </c>
      <c r="GG74" s="1">
        <f t="shared" ref="GG74" si="514">AVERAGE(GG7,GG11,GG15,GG18,GG22,GG25,GG29,GG36,GG41:GG70)</f>
        <v>1.2928571428571429</v>
      </c>
      <c r="GH74" s="1"/>
      <c r="GI74" s="1">
        <f t="shared" ref="GI74:GL74" si="515">AVERAGE(GI7,GI11,GI15,GI18,GI25,GI29,GI36,GI41:GI70)</f>
        <v>3.5333333333333332</v>
      </c>
      <c r="GJ74" s="1">
        <f t="shared" si="515"/>
        <v>3.2333333333333329</v>
      </c>
      <c r="GK74" s="1">
        <f t="shared" si="515"/>
        <v>3.4083333333333332</v>
      </c>
      <c r="GL74" s="1">
        <f t="shared" si="515"/>
        <v>2.6333333333333333</v>
      </c>
      <c r="GM74" s="1">
        <f t="shared" ref="GM74" si="516">AVERAGE(GM7,GM11,GM15,GM18,GM22,GM25,GM29,GM36,GM41:GM70)</f>
        <v>2</v>
      </c>
      <c r="GN74" s="1"/>
      <c r="GO74" s="1">
        <f t="shared" ref="GO74:GR74" si="517">AVERAGE(GO7,GO11,GO15,GO18,GO25,GO29,GO36,GO41:GO70)</f>
        <v>2.6</v>
      </c>
      <c r="GP74" s="1">
        <f t="shared" si="517"/>
        <v>2.9428571428571431</v>
      </c>
      <c r="GQ74" s="1">
        <f t="shared" si="517"/>
        <v>2.8071428571428569</v>
      </c>
      <c r="GR74" s="1">
        <f t="shared" si="517"/>
        <v>2.7071428571428569</v>
      </c>
      <c r="GS74" s="1">
        <f t="shared" ref="GS74" si="518">AVERAGE(GS7,GS11,GS15,GS18,GS22,GS25,GS29,GS36,GS41:GS70)</f>
        <v>2.8466666666666667</v>
      </c>
      <c r="GT74" s="1"/>
      <c r="GU74" s="1">
        <f t="shared" ref="GU74:GX74" si="519">AVERAGE(GU7,GU11,GU15,GU18,GU25,GU29,GU36,GU41:GU70)</f>
        <v>3.3249999999999997</v>
      </c>
      <c r="GV74" s="1">
        <f t="shared" si="519"/>
        <v>2.4583333333333335</v>
      </c>
      <c r="GW74" s="1">
        <f t="shared" si="519"/>
        <v>3.9166666666666665</v>
      </c>
      <c r="GX74" s="1">
        <f t="shared" si="519"/>
        <v>3.0749999999999997</v>
      </c>
      <c r="GY74" s="1">
        <f t="shared" ref="GY74" si="520">AVERAGE(GY7,GY11,GY15,GY18,GY22,GY25,GY29,GY36,GY41:GY70)</f>
        <v>2.7230769230769232</v>
      </c>
      <c r="GZ74" s="1"/>
      <c r="HA74" s="1">
        <f t="shared" ref="HA74:HD74" si="521">AVERAGE(HA7,HA11,HA15,HA18,HA25,HA29,HA36,HA41:HA70)</f>
        <v>2.7923076923076922</v>
      </c>
      <c r="HB74" s="1">
        <f t="shared" si="521"/>
        <v>2.4461538461538463</v>
      </c>
      <c r="HC74" s="1">
        <f t="shared" si="521"/>
        <v>2.4538461538461536</v>
      </c>
      <c r="HD74" s="1">
        <f t="shared" si="521"/>
        <v>3.5307692307692307</v>
      </c>
      <c r="HE74" s="1">
        <f t="shared" ref="HE74" si="522">AVERAGE(HE7,HE11,HE15,HE18,HE22,HE25,HE29,HE36,HE41:HE70)</f>
        <v>3.4785714285714286</v>
      </c>
    </row>
    <row r="76" spans="1:213" x14ac:dyDescent="0.25">
      <c r="A76" t="s">
        <v>241</v>
      </c>
    </row>
    <row r="77" spans="1:213" x14ac:dyDescent="0.25">
      <c r="A77" t="s">
        <v>4</v>
      </c>
      <c r="B77" s="1">
        <f>AVERAGE(E74,K74,Q74,W74,AC74,AI74,AO74,AU74,BA74,BG74,BM74,BS74,BY74,CE74,CK74,CQ74,CW74,DC74,DI74,DO74,DU74,EA74,EG74,EM74,ES74,EY74,FE74,FK74,FQ74,FW74,GC74,GI74,GO74,GU74,HA74)</f>
        <v>2.8255337519623231</v>
      </c>
    </row>
    <row r="78" spans="1:213" x14ac:dyDescent="0.25">
      <c r="A78" t="s">
        <v>5</v>
      </c>
      <c r="B78" s="1">
        <f>AVERAGE(F74,L74,R74,X74,AD74,AJ74,AP74,AV74,BB74,BH74,BN74,BT74,BZ74,CF74,CL74,CR74,CX74,DD74,DJ74,DP74,DV74,EB74,EH74,EN74,ET74,EZ74,FF74,FL74,FR74,FX74,GD74,GJ74,GP74,GV74,HB74)</f>
        <v>2.3310230245944532</v>
      </c>
    </row>
    <row r="79" spans="1:213" x14ac:dyDescent="0.25">
      <c r="A79" t="s">
        <v>6</v>
      </c>
      <c r="B79" s="1">
        <f>AVERAGE(G74,M74,S74,Y74,AE74,AK74,AQ74,AW74,BC74,BI74,BO74,BU74,CA74,CG74,CM74,CS74,CY74,DE74,DK74,DQ74,DW74,EC74,EI74,EO74,EU74,FA74,FG74,FM74,FS74,FY74,GE74,GK74,GQ74,GW74,HC74)</f>
        <v>2.9065724751439039</v>
      </c>
    </row>
    <row r="80" spans="1:213" x14ac:dyDescent="0.25">
      <c r="A80" t="s">
        <v>7</v>
      </c>
      <c r="B80" s="1">
        <f>AVERAGE(H74,N74,T74,Z74,AF74,AL74,AR74,AX74,BD74,BJ74,BP74,BV74,CB74,CH74,CN74,CT74,CZ74,DF74,DL74,DR74,DX74,ED74,EJ74,EP74,EV74,FB74,FH74,FN74,FT74,FZ74,GF74,GL74,GR74,GX74,HD74)</f>
        <v>2.6362140240711671</v>
      </c>
    </row>
    <row r="81" spans="1:2" x14ac:dyDescent="0.25">
      <c r="A81" t="s">
        <v>8</v>
      </c>
      <c r="B81" s="1">
        <f>AVERAGE(I74,O74,U74,AA74,AG74,AM74,AS74,AY74,BE74,BK74,BQ74,BW74,CC74,CI74,CO74,CU74,DA74,DG74,DM74,DS74,DY74,EE74,EK74,EQ74,EW74,FC74,FI74,FO74,FU74,GA74,GG74,GM74,GS74,GY74,HE74)</f>
        <v>2.8797823129251694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NewsWeavers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Heitz</dc:creator>
  <cp:lastModifiedBy>Lucien Heitz</cp:lastModifiedBy>
  <dcterms:created xsi:type="dcterms:W3CDTF">2026-06-03T14:43:28Z</dcterms:created>
  <dcterms:modified xsi:type="dcterms:W3CDTF">2026-06-03T14:43:32Z</dcterms:modified>
</cp:coreProperties>
</file>