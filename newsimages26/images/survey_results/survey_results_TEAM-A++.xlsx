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lian\Documents\"/>
    </mc:Choice>
  </mc:AlternateContent>
  <xr:revisionPtr revIDLastSave="0" documentId="8_{DABE8E15-6A1F-4CA4-A4A8-B162398951D8}" xr6:coauthVersionLast="47" xr6:coauthVersionMax="47" xr10:uidLastSave="{00000000-0000-0000-0000-000000000000}"/>
  <bookViews>
    <workbookView xWindow="-120" yWindow="-120" windowWidth="29040" windowHeight="17520" xr2:uid="{07F0A727-497F-4E8B-94E9-1A0DB146046B}"/>
  </bookViews>
  <sheets>
    <sheet name="TEAM-A++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N73" i="1" l="1"/>
  <c r="BV73" i="1"/>
  <c r="BD73" i="1"/>
  <c r="AL73" i="1"/>
  <c r="T73" i="1"/>
  <c r="DD71" i="1"/>
  <c r="DC71" i="1"/>
  <c r="DA71" i="1"/>
  <c r="CZ71" i="1"/>
  <c r="CX71" i="1"/>
  <c r="CW71" i="1"/>
  <c r="CU71" i="1"/>
  <c r="CT71" i="1"/>
  <c r="CR71" i="1"/>
  <c r="CQ71" i="1"/>
  <c r="CO71" i="1"/>
  <c r="CN71" i="1"/>
  <c r="CL71" i="1"/>
  <c r="CK71" i="1"/>
  <c r="CI71" i="1"/>
  <c r="CH71" i="1"/>
  <c r="CF71" i="1"/>
  <c r="CE71" i="1"/>
  <c r="CC71" i="1"/>
  <c r="CB71" i="1"/>
  <c r="BZ71" i="1"/>
  <c r="BY71" i="1"/>
  <c r="BW71" i="1"/>
  <c r="BV71" i="1"/>
  <c r="BT71" i="1"/>
  <c r="BS71" i="1"/>
  <c r="BQ71" i="1"/>
  <c r="BP71" i="1"/>
  <c r="BN71" i="1"/>
  <c r="BM71" i="1"/>
  <c r="BK71" i="1"/>
  <c r="BJ71" i="1"/>
  <c r="BH71" i="1"/>
  <c r="BG71" i="1"/>
  <c r="BE71" i="1"/>
  <c r="BD71" i="1"/>
  <c r="BB71" i="1"/>
  <c r="BA71" i="1"/>
  <c r="AY71" i="1"/>
  <c r="AX71" i="1"/>
  <c r="AV71" i="1"/>
  <c r="AU71" i="1"/>
  <c r="AS71" i="1"/>
  <c r="AR71" i="1"/>
  <c r="AP71" i="1"/>
  <c r="AO71" i="1"/>
  <c r="AM71" i="1"/>
  <c r="AL71" i="1"/>
  <c r="AJ71" i="1"/>
  <c r="AI71" i="1"/>
  <c r="AG71" i="1"/>
  <c r="AF71" i="1"/>
  <c r="AD71" i="1"/>
  <c r="AC71" i="1"/>
  <c r="AA71" i="1"/>
  <c r="Z71" i="1"/>
  <c r="X71" i="1"/>
  <c r="W71" i="1"/>
  <c r="U71" i="1"/>
  <c r="T71" i="1"/>
  <c r="R71" i="1"/>
  <c r="Q71" i="1"/>
  <c r="O71" i="1"/>
  <c r="N71" i="1"/>
  <c r="L71" i="1"/>
  <c r="K71" i="1"/>
  <c r="I71" i="1"/>
  <c r="H71" i="1"/>
  <c r="F71" i="1"/>
  <c r="E71" i="1"/>
  <c r="DD36" i="1"/>
  <c r="DC36" i="1"/>
  <c r="DA36" i="1"/>
  <c r="CZ36" i="1"/>
  <c r="CX36" i="1"/>
  <c r="CW36" i="1"/>
  <c r="CU36" i="1"/>
  <c r="CT36" i="1"/>
  <c r="CR36" i="1"/>
  <c r="CQ36" i="1"/>
  <c r="CO36" i="1"/>
  <c r="CN36" i="1"/>
  <c r="CL36" i="1"/>
  <c r="CK36" i="1"/>
  <c r="CI36" i="1"/>
  <c r="CH36" i="1"/>
  <c r="CF36" i="1"/>
  <c r="CE36" i="1"/>
  <c r="CC36" i="1"/>
  <c r="CB36" i="1"/>
  <c r="BZ36" i="1"/>
  <c r="BY36" i="1"/>
  <c r="BW36" i="1"/>
  <c r="BV36" i="1"/>
  <c r="BT36" i="1"/>
  <c r="BS36" i="1"/>
  <c r="BQ36" i="1"/>
  <c r="BP36" i="1"/>
  <c r="BN36" i="1"/>
  <c r="BM36" i="1"/>
  <c r="BK36" i="1"/>
  <c r="BJ36" i="1"/>
  <c r="BH36" i="1"/>
  <c r="BG36" i="1"/>
  <c r="BE36" i="1"/>
  <c r="BD36" i="1"/>
  <c r="BB36" i="1"/>
  <c r="BA36" i="1"/>
  <c r="AY36" i="1"/>
  <c r="AX36" i="1"/>
  <c r="AV36" i="1"/>
  <c r="AU36" i="1"/>
  <c r="AS36" i="1"/>
  <c r="AR36" i="1"/>
  <c r="AP36" i="1"/>
  <c r="AO36" i="1"/>
  <c r="AM36" i="1"/>
  <c r="AL36" i="1"/>
  <c r="AJ36" i="1"/>
  <c r="AI36" i="1"/>
  <c r="AG36" i="1"/>
  <c r="AF36" i="1"/>
  <c r="AD36" i="1"/>
  <c r="AC36" i="1"/>
  <c r="AA36" i="1"/>
  <c r="Z36" i="1"/>
  <c r="X36" i="1"/>
  <c r="W36" i="1"/>
  <c r="U36" i="1"/>
  <c r="T36" i="1"/>
  <c r="R36" i="1"/>
  <c r="Q36" i="1"/>
  <c r="O36" i="1"/>
  <c r="N36" i="1"/>
  <c r="L36" i="1"/>
  <c r="K36" i="1"/>
  <c r="I36" i="1"/>
  <c r="H36" i="1"/>
  <c r="F36" i="1"/>
  <c r="E36" i="1"/>
  <c r="DD29" i="1"/>
  <c r="DC29" i="1"/>
  <c r="DA29" i="1"/>
  <c r="CZ29" i="1"/>
  <c r="CX29" i="1"/>
  <c r="CW29" i="1"/>
  <c r="CU29" i="1"/>
  <c r="CT29" i="1"/>
  <c r="CR29" i="1"/>
  <c r="CQ29" i="1"/>
  <c r="CO29" i="1"/>
  <c r="CN29" i="1"/>
  <c r="CL29" i="1"/>
  <c r="CK29" i="1"/>
  <c r="CI29" i="1"/>
  <c r="CH29" i="1"/>
  <c r="CF29" i="1"/>
  <c r="CE29" i="1"/>
  <c r="CC29" i="1"/>
  <c r="CB29" i="1"/>
  <c r="BZ29" i="1"/>
  <c r="BY29" i="1"/>
  <c r="BW29" i="1"/>
  <c r="BV29" i="1"/>
  <c r="BT29" i="1"/>
  <c r="BS29" i="1"/>
  <c r="BQ29" i="1"/>
  <c r="BP29" i="1"/>
  <c r="BN29" i="1"/>
  <c r="BM29" i="1"/>
  <c r="BK29" i="1"/>
  <c r="BJ29" i="1"/>
  <c r="BH29" i="1"/>
  <c r="BG29" i="1"/>
  <c r="BE29" i="1"/>
  <c r="BD29" i="1"/>
  <c r="BB29" i="1"/>
  <c r="BA29" i="1"/>
  <c r="AY29" i="1"/>
  <c r="AX29" i="1"/>
  <c r="AV29" i="1"/>
  <c r="AU29" i="1"/>
  <c r="AS29" i="1"/>
  <c r="AR29" i="1"/>
  <c r="AP29" i="1"/>
  <c r="AO29" i="1"/>
  <c r="AM29" i="1"/>
  <c r="AL29" i="1"/>
  <c r="AJ29" i="1"/>
  <c r="AI29" i="1"/>
  <c r="AG29" i="1"/>
  <c r="AF29" i="1"/>
  <c r="AD29" i="1"/>
  <c r="AC29" i="1"/>
  <c r="AA29" i="1"/>
  <c r="Z29" i="1"/>
  <c r="X29" i="1"/>
  <c r="W29" i="1"/>
  <c r="U29" i="1"/>
  <c r="T29" i="1"/>
  <c r="R29" i="1"/>
  <c r="Q29" i="1"/>
  <c r="O29" i="1"/>
  <c r="N29" i="1"/>
  <c r="L29" i="1"/>
  <c r="K29" i="1"/>
  <c r="I29" i="1"/>
  <c r="H29" i="1"/>
  <c r="F29" i="1"/>
  <c r="E29" i="1"/>
  <c r="DD25" i="1"/>
  <c r="DC25" i="1"/>
  <c r="DA25" i="1"/>
  <c r="CZ25" i="1"/>
  <c r="CX25" i="1"/>
  <c r="CW25" i="1"/>
  <c r="CU25" i="1"/>
  <c r="CT25" i="1"/>
  <c r="CR25" i="1"/>
  <c r="CQ25" i="1"/>
  <c r="CO25" i="1"/>
  <c r="CO73" i="1" s="1"/>
  <c r="CN25" i="1"/>
  <c r="CL25" i="1"/>
  <c r="CK25" i="1"/>
  <c r="CI25" i="1"/>
  <c r="CH25" i="1"/>
  <c r="CF25" i="1"/>
  <c r="CE25" i="1"/>
  <c r="CC25" i="1"/>
  <c r="CB25" i="1"/>
  <c r="BZ25" i="1"/>
  <c r="BY25" i="1"/>
  <c r="BW25" i="1"/>
  <c r="BW73" i="1" s="1"/>
  <c r="BV25" i="1"/>
  <c r="BT25" i="1"/>
  <c r="BS25" i="1"/>
  <c r="BQ25" i="1"/>
  <c r="BP25" i="1"/>
  <c r="BN25" i="1"/>
  <c r="BM25" i="1"/>
  <c r="BK25" i="1"/>
  <c r="BJ25" i="1"/>
  <c r="BH25" i="1"/>
  <c r="BG25" i="1"/>
  <c r="BE25" i="1"/>
  <c r="BE73" i="1" s="1"/>
  <c r="BD25" i="1"/>
  <c r="BB25" i="1"/>
  <c r="BA25" i="1"/>
  <c r="AY25" i="1"/>
  <c r="AX25" i="1"/>
  <c r="AV25" i="1"/>
  <c r="AU25" i="1"/>
  <c r="AS25" i="1"/>
  <c r="AR25" i="1"/>
  <c r="AP25" i="1"/>
  <c r="AO25" i="1"/>
  <c r="AM25" i="1"/>
  <c r="AM73" i="1" s="1"/>
  <c r="AL25" i="1"/>
  <c r="AJ25" i="1"/>
  <c r="AI25" i="1"/>
  <c r="AG25" i="1"/>
  <c r="AF25" i="1"/>
  <c r="AD25" i="1"/>
  <c r="AC25" i="1"/>
  <c r="AA25" i="1"/>
  <c r="Z25" i="1"/>
  <c r="X25" i="1"/>
  <c r="W25" i="1"/>
  <c r="U25" i="1"/>
  <c r="U73" i="1" s="1"/>
  <c r="T25" i="1"/>
  <c r="R25" i="1"/>
  <c r="Q25" i="1"/>
  <c r="O25" i="1"/>
  <c r="N25" i="1"/>
  <c r="L25" i="1"/>
  <c r="K25" i="1"/>
  <c r="I25" i="1"/>
  <c r="H25" i="1"/>
  <c r="F25" i="1"/>
  <c r="E25" i="1"/>
  <c r="DD22" i="1"/>
  <c r="DC22" i="1"/>
  <c r="DA22" i="1"/>
  <c r="CZ22" i="1"/>
  <c r="CX22" i="1"/>
  <c r="CW22" i="1"/>
  <c r="CU22" i="1"/>
  <c r="CT22" i="1"/>
  <c r="CR22" i="1"/>
  <c r="CQ22" i="1"/>
  <c r="CO22" i="1"/>
  <c r="CN22" i="1"/>
  <c r="CL22" i="1"/>
  <c r="CK22" i="1"/>
  <c r="CI22" i="1"/>
  <c r="CH22" i="1"/>
  <c r="CF22" i="1"/>
  <c r="CE22" i="1"/>
  <c r="CC22" i="1"/>
  <c r="CB22" i="1"/>
  <c r="BZ22" i="1"/>
  <c r="BY22" i="1"/>
  <c r="BW22" i="1"/>
  <c r="BV22" i="1"/>
  <c r="BT22" i="1"/>
  <c r="BS22" i="1"/>
  <c r="BQ22" i="1"/>
  <c r="BP22" i="1"/>
  <c r="BN22" i="1"/>
  <c r="BM22" i="1"/>
  <c r="BK22" i="1"/>
  <c r="BJ22" i="1"/>
  <c r="BH22" i="1"/>
  <c r="BG22" i="1"/>
  <c r="BE22" i="1"/>
  <c r="BD22" i="1"/>
  <c r="BB22" i="1"/>
  <c r="BA22" i="1"/>
  <c r="AY22" i="1"/>
  <c r="AX22" i="1"/>
  <c r="AV22" i="1"/>
  <c r="AU22" i="1"/>
  <c r="AS22" i="1"/>
  <c r="AR22" i="1"/>
  <c r="AP22" i="1"/>
  <c r="AO22" i="1"/>
  <c r="AM22" i="1"/>
  <c r="AL22" i="1"/>
  <c r="AJ22" i="1"/>
  <c r="AI22" i="1"/>
  <c r="AG22" i="1"/>
  <c r="AF22" i="1"/>
  <c r="AD22" i="1"/>
  <c r="AC22" i="1"/>
  <c r="AA22" i="1"/>
  <c r="Z22" i="1"/>
  <c r="X22" i="1"/>
  <c r="W22" i="1"/>
  <c r="U22" i="1"/>
  <c r="T22" i="1"/>
  <c r="R22" i="1"/>
  <c r="Q22" i="1"/>
  <c r="O22" i="1"/>
  <c r="N22" i="1"/>
  <c r="L22" i="1"/>
  <c r="K22" i="1"/>
  <c r="I22" i="1"/>
  <c r="H22" i="1"/>
  <c r="F22" i="1"/>
  <c r="E22" i="1"/>
  <c r="DD18" i="1"/>
  <c r="DC18" i="1"/>
  <c r="DC39" i="1" s="1"/>
  <c r="DA18" i="1"/>
  <c r="CZ18" i="1"/>
  <c r="CZ39" i="1" s="1"/>
  <c r="CX18" i="1"/>
  <c r="CW18" i="1"/>
  <c r="CU18" i="1"/>
  <c r="CT18" i="1"/>
  <c r="CR18" i="1"/>
  <c r="CQ18" i="1"/>
  <c r="CO18" i="1"/>
  <c r="CN18" i="1"/>
  <c r="CN39" i="1" s="1"/>
  <c r="CL18" i="1"/>
  <c r="CK18" i="1"/>
  <c r="CK39" i="1" s="1"/>
  <c r="CI18" i="1"/>
  <c r="CH18" i="1"/>
  <c r="CH39" i="1" s="1"/>
  <c r="CF18" i="1"/>
  <c r="CE18" i="1"/>
  <c r="CC18" i="1"/>
  <c r="CB18" i="1"/>
  <c r="BZ18" i="1"/>
  <c r="BY18" i="1"/>
  <c r="BW18" i="1"/>
  <c r="BV18" i="1"/>
  <c r="BV39" i="1" s="1"/>
  <c r="BT18" i="1"/>
  <c r="BS18" i="1"/>
  <c r="BS39" i="1" s="1"/>
  <c r="BQ18" i="1"/>
  <c r="BP18" i="1"/>
  <c r="BP39" i="1" s="1"/>
  <c r="BN18" i="1"/>
  <c r="BM18" i="1"/>
  <c r="BK18" i="1"/>
  <c r="BJ18" i="1"/>
  <c r="BH18" i="1"/>
  <c r="BG18" i="1"/>
  <c r="BE18" i="1"/>
  <c r="BD18" i="1"/>
  <c r="BD39" i="1" s="1"/>
  <c r="BB18" i="1"/>
  <c r="BA18" i="1"/>
  <c r="BA39" i="1" s="1"/>
  <c r="AY18" i="1"/>
  <c r="AX18" i="1"/>
  <c r="AX39" i="1" s="1"/>
  <c r="AV18" i="1"/>
  <c r="AU18" i="1"/>
  <c r="AS18" i="1"/>
  <c r="AR18" i="1"/>
  <c r="AP18" i="1"/>
  <c r="AO18" i="1"/>
  <c r="AM18" i="1"/>
  <c r="AL18" i="1"/>
  <c r="AL39" i="1" s="1"/>
  <c r="AJ18" i="1"/>
  <c r="AI18" i="1"/>
  <c r="AI39" i="1" s="1"/>
  <c r="AG18" i="1"/>
  <c r="AF18" i="1"/>
  <c r="AF39" i="1" s="1"/>
  <c r="AD18" i="1"/>
  <c r="AC18" i="1"/>
  <c r="AA18" i="1"/>
  <c r="Z18" i="1"/>
  <c r="X18" i="1"/>
  <c r="W18" i="1"/>
  <c r="U18" i="1"/>
  <c r="T18" i="1"/>
  <c r="T39" i="1" s="1"/>
  <c r="R18" i="1"/>
  <c r="Q18" i="1"/>
  <c r="Q39" i="1" s="1"/>
  <c r="O18" i="1"/>
  <c r="N18" i="1"/>
  <c r="N39" i="1" s="1"/>
  <c r="L18" i="1"/>
  <c r="K18" i="1"/>
  <c r="I18" i="1"/>
  <c r="H18" i="1"/>
  <c r="F18" i="1"/>
  <c r="E18" i="1"/>
  <c r="DD15" i="1"/>
  <c r="DD38" i="1" s="1"/>
  <c r="DD39" i="1" s="1"/>
  <c r="DC15" i="1"/>
  <c r="DC38" i="1" s="1"/>
  <c r="DA15" i="1"/>
  <c r="DA38" i="1" s="1"/>
  <c r="DA39" i="1" s="1"/>
  <c r="CZ15" i="1"/>
  <c r="CZ38" i="1" s="1"/>
  <c r="CX15" i="1"/>
  <c r="CX38" i="1" s="1"/>
  <c r="CX39" i="1" s="1"/>
  <c r="CW15" i="1"/>
  <c r="CW38" i="1" s="1"/>
  <c r="CU15" i="1"/>
  <c r="CT15" i="1"/>
  <c r="CR15" i="1"/>
  <c r="CQ15" i="1"/>
  <c r="CO15" i="1"/>
  <c r="CN15" i="1"/>
  <c r="CN38" i="1" s="1"/>
  <c r="CL15" i="1"/>
  <c r="CL38" i="1" s="1"/>
  <c r="CL39" i="1" s="1"/>
  <c r="CK15" i="1"/>
  <c r="CK38" i="1" s="1"/>
  <c r="CI15" i="1"/>
  <c r="CI38" i="1" s="1"/>
  <c r="CI39" i="1" s="1"/>
  <c r="CH15" i="1"/>
  <c r="CH38" i="1" s="1"/>
  <c r="CF15" i="1"/>
  <c r="CF38" i="1" s="1"/>
  <c r="CF39" i="1" s="1"/>
  <c r="CE15" i="1"/>
  <c r="CE38" i="1" s="1"/>
  <c r="CC15" i="1"/>
  <c r="CB15" i="1"/>
  <c r="BZ15" i="1"/>
  <c r="BY15" i="1"/>
  <c r="BW15" i="1"/>
  <c r="BV15" i="1"/>
  <c r="BV38" i="1" s="1"/>
  <c r="BT15" i="1"/>
  <c r="BT38" i="1" s="1"/>
  <c r="BT39" i="1" s="1"/>
  <c r="BS15" i="1"/>
  <c r="BS38" i="1" s="1"/>
  <c r="BQ15" i="1"/>
  <c r="BQ38" i="1" s="1"/>
  <c r="BQ39" i="1" s="1"/>
  <c r="BP15" i="1"/>
  <c r="BP38" i="1" s="1"/>
  <c r="BN15" i="1"/>
  <c r="BN38" i="1" s="1"/>
  <c r="BN39" i="1" s="1"/>
  <c r="BM15" i="1"/>
  <c r="BM38" i="1" s="1"/>
  <c r="BK15" i="1"/>
  <c r="BJ15" i="1"/>
  <c r="BH15" i="1"/>
  <c r="BG15" i="1"/>
  <c r="BE15" i="1"/>
  <c r="BD15" i="1"/>
  <c r="BD38" i="1" s="1"/>
  <c r="BB15" i="1"/>
  <c r="BB38" i="1" s="1"/>
  <c r="BB39" i="1" s="1"/>
  <c r="BA15" i="1"/>
  <c r="BA38" i="1" s="1"/>
  <c r="AY15" i="1"/>
  <c r="AY38" i="1" s="1"/>
  <c r="AY39" i="1" s="1"/>
  <c r="AX15" i="1"/>
  <c r="AX38" i="1" s="1"/>
  <c r="AV15" i="1"/>
  <c r="AV38" i="1" s="1"/>
  <c r="AV39" i="1" s="1"/>
  <c r="AU15" i="1"/>
  <c r="AU38" i="1" s="1"/>
  <c r="AS15" i="1"/>
  <c r="AR15" i="1"/>
  <c r="AP15" i="1"/>
  <c r="AO15" i="1"/>
  <c r="AM15" i="1"/>
  <c r="AL15" i="1"/>
  <c r="AL38" i="1" s="1"/>
  <c r="AJ15" i="1"/>
  <c r="AJ38" i="1" s="1"/>
  <c r="AJ39" i="1" s="1"/>
  <c r="AI15" i="1"/>
  <c r="AI38" i="1" s="1"/>
  <c r="AG15" i="1"/>
  <c r="AG38" i="1" s="1"/>
  <c r="AG39" i="1" s="1"/>
  <c r="AF15" i="1"/>
  <c r="AF38" i="1" s="1"/>
  <c r="AD15" i="1"/>
  <c r="AD38" i="1" s="1"/>
  <c r="AD39" i="1" s="1"/>
  <c r="AC15" i="1"/>
  <c r="AC38" i="1" s="1"/>
  <c r="AA15" i="1"/>
  <c r="Z15" i="1"/>
  <c r="X15" i="1"/>
  <c r="W15" i="1"/>
  <c r="U15" i="1"/>
  <c r="T15" i="1"/>
  <c r="T38" i="1" s="1"/>
  <c r="R15" i="1"/>
  <c r="R38" i="1" s="1"/>
  <c r="R39" i="1" s="1"/>
  <c r="Q15" i="1"/>
  <c r="Q38" i="1" s="1"/>
  <c r="O15" i="1"/>
  <c r="O38" i="1" s="1"/>
  <c r="O39" i="1" s="1"/>
  <c r="N15" i="1"/>
  <c r="N38" i="1" s="1"/>
  <c r="L15" i="1"/>
  <c r="L38" i="1" s="1"/>
  <c r="L39" i="1" s="1"/>
  <c r="K15" i="1"/>
  <c r="K38" i="1" s="1"/>
  <c r="I15" i="1"/>
  <c r="H15" i="1"/>
  <c r="F15" i="1"/>
  <c r="E15" i="1"/>
  <c r="DD11" i="1"/>
  <c r="DC11" i="1"/>
  <c r="DA11" i="1"/>
  <c r="CZ11" i="1"/>
  <c r="CX11" i="1"/>
  <c r="CW11" i="1"/>
  <c r="CU11" i="1"/>
  <c r="CT11" i="1"/>
  <c r="CR11" i="1"/>
  <c r="CQ11" i="1"/>
  <c r="CO11" i="1"/>
  <c r="CN11" i="1"/>
  <c r="CL11" i="1"/>
  <c r="CK11" i="1"/>
  <c r="CI11" i="1"/>
  <c r="CH11" i="1"/>
  <c r="CF11" i="1"/>
  <c r="CE11" i="1"/>
  <c r="CC11" i="1"/>
  <c r="CB11" i="1"/>
  <c r="BZ11" i="1"/>
  <c r="BY11" i="1"/>
  <c r="BW11" i="1"/>
  <c r="BV11" i="1"/>
  <c r="BT11" i="1"/>
  <c r="BS11" i="1"/>
  <c r="BQ11" i="1"/>
  <c r="BP11" i="1"/>
  <c r="BN11" i="1"/>
  <c r="BM11" i="1"/>
  <c r="BK11" i="1"/>
  <c r="BJ11" i="1"/>
  <c r="BH11" i="1"/>
  <c r="BG11" i="1"/>
  <c r="BE11" i="1"/>
  <c r="BD11" i="1"/>
  <c r="BB11" i="1"/>
  <c r="BA11" i="1"/>
  <c r="AY11" i="1"/>
  <c r="AX11" i="1"/>
  <c r="AV11" i="1"/>
  <c r="AU11" i="1"/>
  <c r="AS11" i="1"/>
  <c r="AR11" i="1"/>
  <c r="AP11" i="1"/>
  <c r="AO11" i="1"/>
  <c r="AM11" i="1"/>
  <c r="AL11" i="1"/>
  <c r="AJ11" i="1"/>
  <c r="AI11" i="1"/>
  <c r="AG11" i="1"/>
  <c r="AF11" i="1"/>
  <c r="AD11" i="1"/>
  <c r="AC11" i="1"/>
  <c r="AA11" i="1"/>
  <c r="Z11" i="1"/>
  <c r="X11" i="1"/>
  <c r="W11" i="1"/>
  <c r="U11" i="1"/>
  <c r="T11" i="1"/>
  <c r="R11" i="1"/>
  <c r="Q11" i="1"/>
  <c r="O11" i="1"/>
  <c r="N11" i="1"/>
  <c r="L11" i="1"/>
  <c r="K11" i="1"/>
  <c r="I11" i="1"/>
  <c r="H11" i="1"/>
  <c r="F11" i="1"/>
  <c r="E11" i="1"/>
  <c r="DD7" i="1"/>
  <c r="DD73" i="1" s="1"/>
  <c r="DC7" i="1"/>
  <c r="DC73" i="1" s="1"/>
  <c r="DA7" i="1"/>
  <c r="DA73" i="1" s="1"/>
  <c r="CZ7" i="1"/>
  <c r="CZ74" i="1" s="1"/>
  <c r="CX7" i="1"/>
  <c r="CX74" i="1" s="1"/>
  <c r="CW7" i="1"/>
  <c r="CW73" i="1" s="1"/>
  <c r="CU7" i="1"/>
  <c r="CU38" i="1" s="1"/>
  <c r="CU39" i="1" s="1"/>
  <c r="CT7" i="1"/>
  <c r="CT74" i="1" s="1"/>
  <c r="CR7" i="1"/>
  <c r="CR38" i="1" s="1"/>
  <c r="CR39" i="1" s="1"/>
  <c r="CQ7" i="1"/>
  <c r="CQ38" i="1" s="1"/>
  <c r="CO7" i="1"/>
  <c r="CO74" i="1" s="1"/>
  <c r="CN7" i="1"/>
  <c r="CN74" i="1" s="1"/>
  <c r="CL7" i="1"/>
  <c r="CL73" i="1" s="1"/>
  <c r="CK7" i="1"/>
  <c r="CK73" i="1" s="1"/>
  <c r="CI7" i="1"/>
  <c r="CI73" i="1" s="1"/>
  <c r="CH7" i="1"/>
  <c r="CH73" i="1" s="1"/>
  <c r="CF7" i="1"/>
  <c r="CF74" i="1" s="1"/>
  <c r="CE7" i="1"/>
  <c r="CE39" i="1" s="1"/>
  <c r="CC7" i="1"/>
  <c r="CC38" i="1" s="1"/>
  <c r="CC39" i="1" s="1"/>
  <c r="CB7" i="1"/>
  <c r="CB38" i="1" s="1"/>
  <c r="BZ7" i="1"/>
  <c r="BZ74" i="1" s="1"/>
  <c r="BY7" i="1"/>
  <c r="BY39" i="1" s="1"/>
  <c r="BW7" i="1"/>
  <c r="BW74" i="1" s="1"/>
  <c r="BV7" i="1"/>
  <c r="BV74" i="1" s="1"/>
  <c r="BT7" i="1"/>
  <c r="BT73" i="1" s="1"/>
  <c r="BS7" i="1"/>
  <c r="BS73" i="1" s="1"/>
  <c r="BQ7" i="1"/>
  <c r="BQ73" i="1" s="1"/>
  <c r="BP7" i="1"/>
  <c r="BP74" i="1" s="1"/>
  <c r="BN7" i="1"/>
  <c r="BN74" i="1" s="1"/>
  <c r="BM7" i="1"/>
  <c r="BM39" i="1" s="1"/>
  <c r="BK7" i="1"/>
  <c r="BK38" i="1" s="1"/>
  <c r="BK39" i="1" s="1"/>
  <c r="BJ7" i="1"/>
  <c r="BJ38" i="1" s="1"/>
  <c r="BH7" i="1"/>
  <c r="BH73" i="1" s="1"/>
  <c r="BG7" i="1"/>
  <c r="BG73" i="1" s="1"/>
  <c r="BE7" i="1"/>
  <c r="BE74" i="1" s="1"/>
  <c r="BD7" i="1"/>
  <c r="BD74" i="1" s="1"/>
  <c r="BB7" i="1"/>
  <c r="BB73" i="1" s="1"/>
  <c r="BA7" i="1"/>
  <c r="BA73" i="1" s="1"/>
  <c r="AY7" i="1"/>
  <c r="AY73" i="1" s="1"/>
  <c r="AX7" i="1"/>
  <c r="AX73" i="1" s="1"/>
  <c r="AV7" i="1"/>
  <c r="AV74" i="1" s="1"/>
  <c r="AU7" i="1"/>
  <c r="AU39" i="1" s="1"/>
  <c r="AS7" i="1"/>
  <c r="AS38" i="1" s="1"/>
  <c r="AS39" i="1" s="1"/>
  <c r="AR7" i="1"/>
  <c r="AR38" i="1" s="1"/>
  <c r="AP7" i="1"/>
  <c r="AP73" i="1" s="1"/>
  <c r="AO7" i="1"/>
  <c r="AO39" i="1" s="1"/>
  <c r="AM7" i="1"/>
  <c r="AM74" i="1" s="1"/>
  <c r="AL7" i="1"/>
  <c r="AL74" i="1" s="1"/>
  <c r="AJ7" i="1"/>
  <c r="AJ73" i="1" s="1"/>
  <c r="AI7" i="1"/>
  <c r="AI73" i="1" s="1"/>
  <c r="AG7" i="1"/>
  <c r="AG73" i="1" s="1"/>
  <c r="AF7" i="1"/>
  <c r="AF74" i="1" s="1"/>
  <c r="AD7" i="1"/>
  <c r="AD73" i="1" s="1"/>
  <c r="AC7" i="1"/>
  <c r="AC39" i="1" s="1"/>
  <c r="AA7" i="1"/>
  <c r="AA38" i="1" s="1"/>
  <c r="AA39" i="1" s="1"/>
  <c r="Z7" i="1"/>
  <c r="Z73" i="1" s="1"/>
  <c r="X7" i="1"/>
  <c r="X38" i="1" s="1"/>
  <c r="X39" i="1" s="1"/>
  <c r="W7" i="1"/>
  <c r="W38" i="1" s="1"/>
  <c r="U7" i="1"/>
  <c r="U74" i="1" s="1"/>
  <c r="T7" i="1"/>
  <c r="T74" i="1" s="1"/>
  <c r="R7" i="1"/>
  <c r="R73" i="1" s="1"/>
  <c r="Q7" i="1"/>
  <c r="Q73" i="1" s="1"/>
  <c r="O7" i="1"/>
  <c r="O73" i="1" s="1"/>
  <c r="N7" i="1"/>
  <c r="N74" i="1" s="1"/>
  <c r="L7" i="1"/>
  <c r="L74" i="1" s="1"/>
  <c r="K7" i="1"/>
  <c r="K73" i="1" s="1"/>
  <c r="I7" i="1"/>
  <c r="I38" i="1" s="1"/>
  <c r="I39" i="1" s="1"/>
  <c r="H7" i="1"/>
  <c r="H74" i="1" s="1"/>
  <c r="F7" i="1"/>
  <c r="F38" i="1" s="1"/>
  <c r="F39" i="1" s="1"/>
  <c r="E7" i="1"/>
  <c r="E38" i="1" s="1"/>
  <c r="W74" i="1" l="1"/>
  <c r="X74" i="1"/>
  <c r="E73" i="1"/>
  <c r="Z74" i="1"/>
  <c r="X73" i="1"/>
  <c r="AA74" i="1"/>
  <c r="AR73" i="1"/>
  <c r="BM74" i="1"/>
  <c r="AS73" i="1"/>
  <c r="AD74" i="1"/>
  <c r="E39" i="1"/>
  <c r="CQ39" i="1"/>
  <c r="AU73" i="1"/>
  <c r="AX74" i="1"/>
  <c r="U38" i="1"/>
  <c r="U39" i="1" s="1"/>
  <c r="AM38" i="1"/>
  <c r="AM39" i="1" s="1"/>
  <c r="BE38" i="1"/>
  <c r="BE39" i="1" s="1"/>
  <c r="BW38" i="1"/>
  <c r="BW39" i="1" s="1"/>
  <c r="CO38" i="1"/>
  <c r="CO39" i="1" s="1"/>
  <c r="L73" i="1"/>
  <c r="AV73" i="1"/>
  <c r="BN73" i="1"/>
  <c r="CF73" i="1"/>
  <c r="CX73" i="1"/>
  <c r="O74" i="1"/>
  <c r="AG74" i="1"/>
  <c r="AY74" i="1"/>
  <c r="BQ74" i="1"/>
  <c r="CI74" i="1"/>
  <c r="DA74" i="1"/>
  <c r="E74" i="1"/>
  <c r="CQ74" i="1"/>
  <c r="F74" i="1"/>
  <c r="CR74" i="1"/>
  <c r="W73" i="1"/>
  <c r="CQ73" i="1"/>
  <c r="AR74" i="1"/>
  <c r="F73" i="1"/>
  <c r="BZ73" i="1"/>
  <c r="CC74" i="1"/>
  <c r="H73" i="1"/>
  <c r="CT73" i="1"/>
  <c r="AU74" i="1"/>
  <c r="I73" i="1"/>
  <c r="W39" i="1"/>
  <c r="CE73" i="1"/>
  <c r="CH74" i="1"/>
  <c r="AO38" i="1"/>
  <c r="BG38" i="1"/>
  <c r="BY38" i="1"/>
  <c r="H39" i="1"/>
  <c r="Z39" i="1"/>
  <c r="AR39" i="1"/>
  <c r="BJ39" i="1"/>
  <c r="CB39" i="1"/>
  <c r="CT39" i="1"/>
  <c r="N73" i="1"/>
  <c r="AF73" i="1"/>
  <c r="BP73" i="1"/>
  <c r="CZ73" i="1"/>
  <c r="Q74" i="1"/>
  <c r="AI74" i="1"/>
  <c r="BA74" i="1"/>
  <c r="BS74" i="1"/>
  <c r="CK74" i="1"/>
  <c r="DC74" i="1"/>
  <c r="BG74" i="1"/>
  <c r="BH74" i="1"/>
  <c r="BY73" i="1"/>
  <c r="CB74" i="1"/>
  <c r="CR73" i="1"/>
  <c r="BK74" i="1"/>
  <c r="CB73" i="1"/>
  <c r="CE74" i="1"/>
  <c r="CC73" i="1"/>
  <c r="BG39" i="1"/>
  <c r="AC73" i="1"/>
  <c r="AP38" i="1"/>
  <c r="AP39" i="1" s="1"/>
  <c r="BH38" i="1"/>
  <c r="BH39" i="1" s="1"/>
  <c r="BZ38" i="1"/>
  <c r="BZ39" i="1" s="1"/>
  <c r="R74" i="1"/>
  <c r="AJ74" i="1"/>
  <c r="BB74" i="1"/>
  <c r="BT74" i="1"/>
  <c r="CL74" i="1"/>
  <c r="DD74" i="1"/>
  <c r="BY74" i="1"/>
  <c r="BJ74" i="1"/>
  <c r="AS74" i="1"/>
  <c r="BJ73" i="1"/>
  <c r="AC74" i="1"/>
  <c r="BK73" i="1"/>
  <c r="BM73" i="1"/>
  <c r="H38" i="1"/>
  <c r="Z38" i="1"/>
  <c r="CT38" i="1"/>
  <c r="K39" i="1"/>
  <c r="CW39" i="1"/>
  <c r="AO74" i="1"/>
  <c r="AP74" i="1"/>
  <c r="AO73" i="1"/>
  <c r="I74" i="1"/>
  <c r="CU74" i="1"/>
  <c r="K74" i="1"/>
  <c r="CW74" i="1"/>
  <c r="AA73" i="1"/>
  <c r="CU73" i="1"/>
  <c r="B78" i="1" l="1"/>
  <c r="B77" i="1"/>
</calcChain>
</file>

<file path=xl/sharedStrings.xml><?xml version="1.0" encoding="utf-8"?>
<sst xmlns="http://schemas.openxmlformats.org/spreadsheetml/2006/main" count="323" uniqueCount="138">
  <si>
    <t>Group Name</t>
  </si>
  <si>
    <t>TEAM-A++</t>
  </si>
  <si>
    <t>BASELINE</t>
  </si>
  <si>
    <t>Run Name</t>
  </si>
  <si>
    <t>SDXL-CFT</t>
  </si>
  <si>
    <t>Original Images</t>
  </si>
  <si>
    <t>ResponseId</t>
  </si>
  <si>
    <t>Group</t>
  </si>
  <si>
    <t>Duration (in seconds)</t>
  </si>
  <si>
    <t>8511_25</t>
  </si>
  <si>
    <t>8511_29</t>
  </si>
  <si>
    <t>8516_25</t>
  </si>
  <si>
    <t>8516_29</t>
  </si>
  <si>
    <t>8519_25</t>
  </si>
  <si>
    <t>8519_29</t>
  </si>
  <si>
    <t>8526_25</t>
  </si>
  <si>
    <t>8526_29</t>
  </si>
  <si>
    <t>8546_25</t>
  </si>
  <si>
    <t>8546_29</t>
  </si>
  <si>
    <t>8598_25</t>
  </si>
  <si>
    <t>8598_29</t>
  </si>
  <si>
    <t>8865_25</t>
  </si>
  <si>
    <t>8865_29</t>
  </si>
  <si>
    <t>9181_25</t>
  </si>
  <si>
    <t>9181_29</t>
  </si>
  <si>
    <t>9621_25</t>
  </si>
  <si>
    <t>9621_29</t>
  </si>
  <si>
    <t>10741_25</t>
  </si>
  <si>
    <t>10741_29</t>
  </si>
  <si>
    <t>11115_25</t>
  </si>
  <si>
    <t>11115_29</t>
  </si>
  <si>
    <t>11292_25</t>
  </si>
  <si>
    <t>11292_29</t>
  </si>
  <si>
    <t>13570_25</t>
  </si>
  <si>
    <t>13570_29</t>
  </si>
  <si>
    <t>14053_25</t>
  </si>
  <si>
    <t>14053_29</t>
  </si>
  <si>
    <t>14609_25</t>
  </si>
  <si>
    <t>14609_29</t>
  </si>
  <si>
    <t>15235_25</t>
  </si>
  <si>
    <t>15235_29</t>
  </si>
  <si>
    <t>15399_25</t>
  </si>
  <si>
    <t>15399_29</t>
  </si>
  <si>
    <t>15433_25</t>
  </si>
  <si>
    <t>15433_29</t>
  </si>
  <si>
    <t>16259_25</t>
  </si>
  <si>
    <t>16259_29</t>
  </si>
  <si>
    <t>16533_25</t>
  </si>
  <si>
    <t>16533_29</t>
  </si>
  <si>
    <t>17126_25</t>
  </si>
  <si>
    <t>17126_29</t>
  </si>
  <si>
    <t>17280_25</t>
  </si>
  <si>
    <t>17280_29</t>
  </si>
  <si>
    <t>19089_25</t>
  </si>
  <si>
    <t>19089_29</t>
  </si>
  <si>
    <t>19314_25</t>
  </si>
  <si>
    <t>19314_29</t>
  </si>
  <si>
    <t>19378_25</t>
  </si>
  <si>
    <t>19378_29</t>
  </si>
  <si>
    <t>19445_25</t>
  </si>
  <si>
    <t>19445_29</t>
  </si>
  <si>
    <t>19925_25</t>
  </si>
  <si>
    <t>19925_29</t>
  </si>
  <si>
    <t>20011_25</t>
  </si>
  <si>
    <t>20011_29</t>
  </si>
  <si>
    <t>21268_25</t>
  </si>
  <si>
    <t>21268_29</t>
  </si>
  <si>
    <t>21269_25</t>
  </si>
  <si>
    <t>21269_29</t>
  </si>
  <si>
    <t>22554_25</t>
  </si>
  <si>
    <t>22554_29</t>
  </si>
  <si>
    <t>22584_25</t>
  </si>
  <si>
    <t>22584_29</t>
  </si>
  <si>
    <t>23390_25</t>
  </si>
  <si>
    <t>23390_29</t>
  </si>
  <si>
    <t>23503_25</t>
  </si>
  <si>
    <t>23503_29</t>
  </si>
  <si>
    <t>R_4Suwt6wdoYpIU4z</t>
  </si>
  <si>
    <t>AIINS-01</t>
  </si>
  <si>
    <t>Group Average</t>
  </si>
  <si>
    <t>R_8VEgqqZDxeb59gz</t>
  </si>
  <si>
    <t>CERTH-ITI</t>
  </si>
  <si>
    <t>R_2nGms8v6ZkNKy89</t>
  </si>
  <si>
    <t>R_4j8JKJ7Qv9Manst</t>
  </si>
  <si>
    <t>FAST-DS</t>
  </si>
  <si>
    <t>R_2SQBoP0rRIQcD7z</t>
  </si>
  <si>
    <t>R_4995DgLwf0XKbXr</t>
  </si>
  <si>
    <t>FAST-MS</t>
  </si>
  <si>
    <t>R_9illhJxHEZ3XlRQ</t>
  </si>
  <si>
    <t>NewsWeavers</t>
  </si>
  <si>
    <t>R_9xnuthjBLdkFRtv</t>
  </si>
  <si>
    <t>R_4kdO3nZyoOo981n</t>
  </si>
  <si>
    <t>TEAM_A++</t>
  </si>
  <si>
    <t>R_8RQVV3LtKoeEPHr</t>
  </si>
  <si>
    <t>UAmsterdam</t>
  </si>
  <si>
    <t>R_8G1e42q7qGv7L9L</t>
  </si>
  <si>
    <t>R_8jnkOcyb2cvP2ff</t>
  </si>
  <si>
    <t>Organizer</t>
  </si>
  <si>
    <t>R_8EyH3JELbo39mtF</t>
  </si>
  <si>
    <t>R_8CdXLgKA8GuJh7T</t>
  </si>
  <si>
    <t>R_8LeiUag2BjRT0zN</t>
  </si>
  <si>
    <t>R_84vLE674lbAX5jk</t>
  </si>
  <si>
    <t>Participants Average</t>
  </si>
  <si>
    <t>Participants Average (no self-ratings)</t>
  </si>
  <si>
    <t>R_1pAuse4PFOQ9Vuo</t>
  </si>
  <si>
    <t>Prolific</t>
  </si>
  <si>
    <t>R_1P82DTONQV4tkXY</t>
  </si>
  <si>
    <t>R_4I9Sdz2gmFqjW4B</t>
  </si>
  <si>
    <t>R_20wOEgXsSBSc48h</t>
  </si>
  <si>
    <t>R_293wRDTz6OITLxf</t>
  </si>
  <si>
    <t>R_8RpGgT7osB9tgOJ</t>
  </si>
  <si>
    <t>R_1ysitDdhUr3dg9U</t>
  </si>
  <si>
    <t>R_7wbl5VpL477Cl9L</t>
  </si>
  <si>
    <t>R_2eQPODTLreol2j8</t>
  </si>
  <si>
    <t>R_8ku04WCWtJCbPKn</t>
  </si>
  <si>
    <t>R_1DptFHvGF64eOPZ</t>
  </si>
  <si>
    <t>R_8FOMor75YeH5ahG</t>
  </si>
  <si>
    <t>R_1ir3rKkbtLavyiG</t>
  </si>
  <si>
    <t>R_2qxWVzgzRPAocoO</t>
  </si>
  <si>
    <t>R_2hSbKDOMTeav58s</t>
  </si>
  <si>
    <t>R_1mx81odEHaUTI7L</t>
  </si>
  <si>
    <t>R_1FteBv2JgtjFiup</t>
  </si>
  <si>
    <t>R_7QyL1bQQpT8kM36</t>
  </si>
  <si>
    <t>R_80pMUNmFTGDH2hv</t>
  </si>
  <si>
    <t>R_8COYZlyw1Zc6tga</t>
  </si>
  <si>
    <t>R_2PMMM4OvmxK1tpX</t>
  </si>
  <si>
    <t>R_2lRXOt7KAAiR4Dn</t>
  </si>
  <si>
    <t>R_2nC54gOEOllLBSC</t>
  </si>
  <si>
    <t>R_2wghpjb4uKQiOWF</t>
  </si>
  <si>
    <t>R_4Lb0R6ObURnDN73</t>
  </si>
  <si>
    <t>R_1zBcHPL4dbymyHz</t>
  </si>
  <si>
    <t>R_4MFH9wQFDky9jTm</t>
  </si>
  <si>
    <t>R_4N8QBNDEov2lpn3</t>
  </si>
  <si>
    <t>R_2v6odldei2iKmWp</t>
  </si>
  <si>
    <t>R_3y9LtfAT7tMWuln</t>
  </si>
  <si>
    <t>Overall Average (with Prolific as group)</t>
  </si>
  <si>
    <t>Overall Average (with Prolific as individuals)</t>
  </si>
  <si>
    <t>FINAL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</si>
</sst>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4978-9BDF-4CCC-A092-47BF1E1D8902}">
  <dimension ref="A1:DD78"/>
  <sheetViews>
    <sheetView tabSelected="1" workbookViewId="0">
      <pane xSplit="2" ySplit="4" topLeftCell="C5" activePane="bottomRight" state="frozen"/>
      <selection pane="topRight" activeCell="P1" sqref="P1"/>
      <selection pane="bottomLeft" activeCell="A22" sqref="A22"/>
      <selection pane="bottomRight"/>
    </sheetView>
  </sheetViews>
  <sheetFormatPr defaultRowHeight="15" x14ac:dyDescent="0.25"/>
  <cols>
    <col min="5" max="108" width="9.5703125" customWidth="1"/>
  </cols>
  <sheetData>
    <row r="1" spans="1:108" x14ac:dyDescent="0.25">
      <c r="A1" t="s">
        <v>0</v>
      </c>
      <c r="E1" t="s">
        <v>1</v>
      </c>
      <c r="F1" t="s">
        <v>2</v>
      </c>
      <c r="H1" t="s">
        <v>1</v>
      </c>
      <c r="I1" t="s">
        <v>2</v>
      </c>
      <c r="K1" t="s">
        <v>1</v>
      </c>
      <c r="L1" t="s">
        <v>2</v>
      </c>
      <c r="N1" t="s">
        <v>1</v>
      </c>
      <c r="O1" t="s">
        <v>2</v>
      </c>
      <c r="Q1" t="s">
        <v>1</v>
      </c>
      <c r="R1" t="s">
        <v>2</v>
      </c>
      <c r="T1" t="s">
        <v>1</v>
      </c>
      <c r="U1" t="s">
        <v>2</v>
      </c>
      <c r="W1" t="s">
        <v>1</v>
      </c>
      <c r="X1" t="s">
        <v>2</v>
      </c>
      <c r="Z1" t="s">
        <v>1</v>
      </c>
      <c r="AA1" t="s">
        <v>2</v>
      </c>
      <c r="AC1" t="s">
        <v>1</v>
      </c>
      <c r="AD1" t="s">
        <v>2</v>
      </c>
      <c r="AF1" t="s">
        <v>1</v>
      </c>
      <c r="AG1" t="s">
        <v>2</v>
      </c>
      <c r="AI1" t="s">
        <v>1</v>
      </c>
      <c r="AJ1" t="s">
        <v>2</v>
      </c>
      <c r="AL1" t="s">
        <v>1</v>
      </c>
      <c r="AM1" t="s">
        <v>2</v>
      </c>
      <c r="AO1" t="s">
        <v>1</v>
      </c>
      <c r="AP1" t="s">
        <v>2</v>
      </c>
      <c r="AR1" t="s">
        <v>1</v>
      </c>
      <c r="AS1" t="s">
        <v>2</v>
      </c>
      <c r="AU1" t="s">
        <v>1</v>
      </c>
      <c r="AV1" t="s">
        <v>2</v>
      </c>
      <c r="AX1" t="s">
        <v>1</v>
      </c>
      <c r="AY1" t="s">
        <v>2</v>
      </c>
      <c r="BA1" t="s">
        <v>1</v>
      </c>
      <c r="BB1" t="s">
        <v>2</v>
      </c>
      <c r="BD1" t="s">
        <v>1</v>
      </c>
      <c r="BE1" t="s">
        <v>2</v>
      </c>
      <c r="BG1" t="s">
        <v>1</v>
      </c>
      <c r="BH1" t="s">
        <v>2</v>
      </c>
      <c r="BJ1" t="s">
        <v>1</v>
      </c>
      <c r="BK1" t="s">
        <v>2</v>
      </c>
      <c r="BM1" t="s">
        <v>1</v>
      </c>
      <c r="BN1" t="s">
        <v>2</v>
      </c>
      <c r="BP1" t="s">
        <v>1</v>
      </c>
      <c r="BQ1" t="s">
        <v>2</v>
      </c>
      <c r="BS1" t="s">
        <v>1</v>
      </c>
      <c r="BT1" t="s">
        <v>2</v>
      </c>
      <c r="BV1" t="s">
        <v>1</v>
      </c>
      <c r="BW1" t="s">
        <v>2</v>
      </c>
      <c r="BY1" t="s">
        <v>1</v>
      </c>
      <c r="BZ1" t="s">
        <v>2</v>
      </c>
      <c r="CB1" t="s">
        <v>1</v>
      </c>
      <c r="CC1" t="s">
        <v>2</v>
      </c>
      <c r="CE1" t="s">
        <v>1</v>
      </c>
      <c r="CF1" t="s">
        <v>2</v>
      </c>
      <c r="CH1" t="s">
        <v>1</v>
      </c>
      <c r="CI1" t="s">
        <v>2</v>
      </c>
      <c r="CK1" t="s">
        <v>1</v>
      </c>
      <c r="CL1" t="s">
        <v>2</v>
      </c>
      <c r="CN1" t="s">
        <v>1</v>
      </c>
      <c r="CO1" t="s">
        <v>2</v>
      </c>
      <c r="CQ1" t="s">
        <v>1</v>
      </c>
      <c r="CR1" t="s">
        <v>2</v>
      </c>
      <c r="CT1" t="s">
        <v>1</v>
      </c>
      <c r="CU1" t="s">
        <v>2</v>
      </c>
      <c r="CW1" t="s">
        <v>1</v>
      </c>
      <c r="CX1" t="s">
        <v>2</v>
      </c>
      <c r="CZ1" t="s">
        <v>1</v>
      </c>
      <c r="DA1" t="s">
        <v>2</v>
      </c>
      <c r="DC1" t="s">
        <v>1</v>
      </c>
      <c r="DD1" t="s">
        <v>2</v>
      </c>
    </row>
    <row r="2" spans="1:108" x14ac:dyDescent="0.25">
      <c r="A2" t="s">
        <v>3</v>
      </c>
      <c r="E2" t="s">
        <v>4</v>
      </c>
      <c r="F2" t="s">
        <v>5</v>
      </c>
      <c r="H2" t="s">
        <v>4</v>
      </c>
      <c r="I2" t="s">
        <v>5</v>
      </c>
      <c r="K2" t="s">
        <v>4</v>
      </c>
      <c r="L2" t="s">
        <v>5</v>
      </c>
      <c r="N2" t="s">
        <v>4</v>
      </c>
      <c r="O2" t="s">
        <v>5</v>
      </c>
      <c r="Q2" t="s">
        <v>4</v>
      </c>
      <c r="R2" t="s">
        <v>5</v>
      </c>
      <c r="T2" t="s">
        <v>4</v>
      </c>
      <c r="U2" t="s">
        <v>5</v>
      </c>
      <c r="W2" t="s">
        <v>4</v>
      </c>
      <c r="X2" t="s">
        <v>5</v>
      </c>
      <c r="Z2" t="s">
        <v>4</v>
      </c>
      <c r="AA2" t="s">
        <v>5</v>
      </c>
      <c r="AC2" t="s">
        <v>4</v>
      </c>
      <c r="AD2" t="s">
        <v>5</v>
      </c>
      <c r="AF2" t="s">
        <v>4</v>
      </c>
      <c r="AG2" t="s">
        <v>5</v>
      </c>
      <c r="AI2" t="s">
        <v>4</v>
      </c>
      <c r="AJ2" t="s">
        <v>5</v>
      </c>
      <c r="AL2" t="s">
        <v>4</v>
      </c>
      <c r="AM2" t="s">
        <v>5</v>
      </c>
      <c r="AO2" t="s">
        <v>4</v>
      </c>
      <c r="AP2" t="s">
        <v>5</v>
      </c>
      <c r="AR2" t="s">
        <v>4</v>
      </c>
      <c r="AS2" t="s">
        <v>5</v>
      </c>
      <c r="AU2" t="s">
        <v>4</v>
      </c>
      <c r="AV2" t="s">
        <v>5</v>
      </c>
      <c r="AX2" t="s">
        <v>4</v>
      </c>
      <c r="AY2" t="s">
        <v>5</v>
      </c>
      <c r="BA2" t="s">
        <v>4</v>
      </c>
      <c r="BB2" t="s">
        <v>5</v>
      </c>
      <c r="BD2" t="s">
        <v>4</v>
      </c>
      <c r="BE2" t="s">
        <v>5</v>
      </c>
      <c r="BG2" t="s">
        <v>4</v>
      </c>
      <c r="BH2" t="s">
        <v>5</v>
      </c>
      <c r="BJ2" t="s">
        <v>4</v>
      </c>
      <c r="BK2" t="s">
        <v>5</v>
      </c>
      <c r="BM2" t="s">
        <v>4</v>
      </c>
      <c r="BN2" t="s">
        <v>5</v>
      </c>
      <c r="BP2" t="s">
        <v>4</v>
      </c>
      <c r="BQ2" t="s">
        <v>5</v>
      </c>
      <c r="BS2" t="s">
        <v>4</v>
      </c>
      <c r="BT2" t="s">
        <v>5</v>
      </c>
      <c r="BV2" t="s">
        <v>4</v>
      </c>
      <c r="BW2" t="s">
        <v>5</v>
      </c>
      <c r="BY2" t="s">
        <v>4</v>
      </c>
      <c r="BZ2" t="s">
        <v>5</v>
      </c>
      <c r="CB2" t="s">
        <v>4</v>
      </c>
      <c r="CC2" t="s">
        <v>5</v>
      </c>
      <c r="CE2" t="s">
        <v>4</v>
      </c>
      <c r="CF2" t="s">
        <v>5</v>
      </c>
      <c r="CH2" t="s">
        <v>4</v>
      </c>
      <c r="CI2" t="s">
        <v>5</v>
      </c>
      <c r="CK2" t="s">
        <v>4</v>
      </c>
      <c r="CL2" t="s">
        <v>5</v>
      </c>
      <c r="CN2" t="s">
        <v>4</v>
      </c>
      <c r="CO2" t="s">
        <v>5</v>
      </c>
      <c r="CQ2" t="s">
        <v>4</v>
      </c>
      <c r="CR2" t="s">
        <v>5</v>
      </c>
      <c r="CT2" t="s">
        <v>4</v>
      </c>
      <c r="CU2" t="s">
        <v>5</v>
      </c>
      <c r="CW2" t="s">
        <v>4</v>
      </c>
      <c r="CX2" t="s">
        <v>5</v>
      </c>
      <c r="CZ2" t="s">
        <v>4</v>
      </c>
      <c r="DA2" t="s">
        <v>5</v>
      </c>
      <c r="DC2" t="s">
        <v>4</v>
      </c>
      <c r="DD2" t="s">
        <v>5</v>
      </c>
    </row>
    <row r="4" spans="1:108" x14ac:dyDescent="0.25">
      <c r="A4" t="s">
        <v>6</v>
      </c>
      <c r="B4" t="s">
        <v>7</v>
      </c>
      <c r="C4" t="s">
        <v>8</v>
      </c>
      <c r="E4" t="s">
        <v>9</v>
      </c>
      <c r="F4" t="s">
        <v>10</v>
      </c>
      <c r="H4" t="s">
        <v>11</v>
      </c>
      <c r="I4" t="s">
        <v>12</v>
      </c>
      <c r="K4" t="s">
        <v>13</v>
      </c>
      <c r="L4" t="s">
        <v>14</v>
      </c>
      <c r="N4" t="s">
        <v>15</v>
      </c>
      <c r="O4" t="s">
        <v>16</v>
      </c>
      <c r="Q4" t="s">
        <v>17</v>
      </c>
      <c r="R4" t="s">
        <v>18</v>
      </c>
      <c r="T4" t="s">
        <v>19</v>
      </c>
      <c r="U4" t="s">
        <v>20</v>
      </c>
      <c r="W4" t="s">
        <v>21</v>
      </c>
      <c r="X4" t="s">
        <v>22</v>
      </c>
      <c r="Z4" t="s">
        <v>23</v>
      </c>
      <c r="AA4" t="s">
        <v>24</v>
      </c>
      <c r="AC4" t="s">
        <v>25</v>
      </c>
      <c r="AD4" t="s">
        <v>26</v>
      </c>
      <c r="AF4" t="s">
        <v>27</v>
      </c>
      <c r="AG4" t="s">
        <v>28</v>
      </c>
      <c r="AI4" t="s">
        <v>29</v>
      </c>
      <c r="AJ4" t="s">
        <v>30</v>
      </c>
      <c r="AL4" t="s">
        <v>31</v>
      </c>
      <c r="AM4" t="s">
        <v>32</v>
      </c>
      <c r="AO4" t="s">
        <v>33</v>
      </c>
      <c r="AP4" t="s">
        <v>34</v>
      </c>
      <c r="AR4" t="s">
        <v>33</v>
      </c>
      <c r="AS4" t="s">
        <v>34</v>
      </c>
      <c r="AU4" t="s">
        <v>35</v>
      </c>
      <c r="AV4" t="s">
        <v>36</v>
      </c>
      <c r="AX4" t="s">
        <v>37</v>
      </c>
      <c r="AY4" t="s">
        <v>38</v>
      </c>
      <c r="BA4" t="s">
        <v>39</v>
      </c>
      <c r="BB4" t="s">
        <v>40</v>
      </c>
      <c r="BD4" t="s">
        <v>41</v>
      </c>
      <c r="BE4" t="s">
        <v>42</v>
      </c>
      <c r="BG4" t="s">
        <v>43</v>
      </c>
      <c r="BH4" t="s">
        <v>44</v>
      </c>
      <c r="BJ4" t="s">
        <v>45</v>
      </c>
      <c r="BK4" t="s">
        <v>46</v>
      </c>
      <c r="BM4" t="s">
        <v>47</v>
      </c>
      <c r="BN4" t="s">
        <v>48</v>
      </c>
      <c r="BP4" t="s">
        <v>49</v>
      </c>
      <c r="BQ4" t="s">
        <v>50</v>
      </c>
      <c r="BS4" t="s">
        <v>51</v>
      </c>
      <c r="BT4" t="s">
        <v>52</v>
      </c>
      <c r="BV4" t="s">
        <v>53</v>
      </c>
      <c r="BW4" t="s">
        <v>54</v>
      </c>
      <c r="BY4" t="s">
        <v>55</v>
      </c>
      <c r="BZ4" t="s">
        <v>56</v>
      </c>
      <c r="CB4" t="s">
        <v>57</v>
      </c>
      <c r="CC4" t="s">
        <v>58</v>
      </c>
      <c r="CE4" t="s">
        <v>59</v>
      </c>
      <c r="CF4" t="s">
        <v>60</v>
      </c>
      <c r="CH4" t="s">
        <v>61</v>
      </c>
      <c r="CI4" t="s">
        <v>62</v>
      </c>
      <c r="CK4" t="s">
        <v>63</v>
      </c>
      <c r="CL4" t="s">
        <v>64</v>
      </c>
      <c r="CN4" t="s">
        <v>65</v>
      </c>
      <c r="CO4" t="s">
        <v>66</v>
      </c>
      <c r="CQ4" t="s">
        <v>67</v>
      </c>
      <c r="CR4" t="s">
        <v>68</v>
      </c>
      <c r="CT4" t="s">
        <v>69</v>
      </c>
      <c r="CU4" t="s">
        <v>70</v>
      </c>
      <c r="CW4" t="s">
        <v>71</v>
      </c>
      <c r="CX4" t="s">
        <v>72</v>
      </c>
      <c r="CZ4" t="s">
        <v>73</v>
      </c>
      <c r="DA4" t="s">
        <v>74</v>
      </c>
      <c r="DC4" t="s">
        <v>75</v>
      </c>
      <c r="DD4" t="s">
        <v>76</v>
      </c>
    </row>
    <row r="6" spans="1:108" x14ac:dyDescent="0.25">
      <c r="A6" t="s">
        <v>77</v>
      </c>
      <c r="B6" t="s">
        <v>78</v>
      </c>
      <c r="C6">
        <v>5694</v>
      </c>
      <c r="E6" s="1">
        <v>1</v>
      </c>
      <c r="F6" s="1">
        <v>1</v>
      </c>
      <c r="G6" s="1"/>
      <c r="H6" s="1">
        <v>4</v>
      </c>
      <c r="I6" s="1">
        <v>1</v>
      </c>
      <c r="J6" s="1"/>
      <c r="K6" s="1">
        <v>5</v>
      </c>
      <c r="L6" s="1">
        <v>5</v>
      </c>
      <c r="M6" s="1"/>
      <c r="N6" s="1">
        <v>5</v>
      </c>
      <c r="O6" s="1">
        <v>5</v>
      </c>
      <c r="P6" s="1"/>
      <c r="Q6" s="1">
        <v>3</v>
      </c>
      <c r="R6" s="1">
        <v>3</v>
      </c>
      <c r="S6" s="1"/>
      <c r="T6" s="1">
        <v>4</v>
      </c>
      <c r="U6" s="1">
        <v>5</v>
      </c>
      <c r="V6" s="1"/>
      <c r="W6" s="1">
        <v>4</v>
      </c>
      <c r="X6" s="1">
        <v>1</v>
      </c>
      <c r="Y6" s="1"/>
      <c r="Z6" s="1">
        <v>3</v>
      </c>
      <c r="AA6" s="1">
        <v>1</v>
      </c>
      <c r="AB6" s="1"/>
      <c r="AC6" s="1">
        <v>4</v>
      </c>
      <c r="AD6" s="1">
        <v>5</v>
      </c>
      <c r="AE6" s="1"/>
      <c r="AF6" s="1">
        <v>3</v>
      </c>
      <c r="AG6" s="1">
        <v>3</v>
      </c>
      <c r="AH6" s="1"/>
      <c r="AI6" s="1">
        <v>4</v>
      </c>
      <c r="AJ6" s="1">
        <v>3</v>
      </c>
      <c r="AK6" s="1"/>
      <c r="AL6" s="1">
        <v>4</v>
      </c>
      <c r="AM6" s="1">
        <v>3</v>
      </c>
      <c r="AN6" s="1"/>
      <c r="AO6" s="1">
        <v>5</v>
      </c>
      <c r="AP6" s="1">
        <v>2</v>
      </c>
      <c r="AQ6" s="1"/>
      <c r="AR6" s="1">
        <v>4</v>
      </c>
      <c r="AS6" s="1">
        <v>5</v>
      </c>
      <c r="AT6" s="1"/>
      <c r="AU6" s="1">
        <v>3</v>
      </c>
      <c r="AV6" s="1">
        <v>5</v>
      </c>
      <c r="AW6" s="1"/>
      <c r="AX6" s="1">
        <v>1</v>
      </c>
      <c r="AY6" s="1">
        <v>1</v>
      </c>
      <c r="AZ6" s="1"/>
      <c r="BA6" s="1">
        <v>5</v>
      </c>
      <c r="BB6" s="1">
        <v>5</v>
      </c>
      <c r="BC6" s="1"/>
      <c r="BD6" s="1">
        <v>4</v>
      </c>
      <c r="BE6" s="1">
        <v>4</v>
      </c>
      <c r="BF6" s="1"/>
      <c r="BG6" s="1">
        <v>5</v>
      </c>
      <c r="BH6" s="1">
        <v>5</v>
      </c>
      <c r="BI6" s="1"/>
      <c r="BJ6" s="1">
        <v>4</v>
      </c>
      <c r="BK6" s="1">
        <v>3</v>
      </c>
      <c r="BL6" s="1"/>
      <c r="BM6" s="1">
        <v>4</v>
      </c>
      <c r="BN6" s="1">
        <v>4</v>
      </c>
      <c r="BO6" s="1"/>
      <c r="BP6" s="1">
        <v>5</v>
      </c>
      <c r="BQ6" s="1">
        <v>5</v>
      </c>
      <c r="BR6" s="1"/>
      <c r="BS6" s="1">
        <v>5</v>
      </c>
      <c r="BT6" s="1">
        <v>5</v>
      </c>
      <c r="BU6" s="1"/>
      <c r="BV6" s="1">
        <v>5</v>
      </c>
      <c r="BW6" s="1">
        <v>3</v>
      </c>
      <c r="BX6" s="1"/>
      <c r="BY6" s="1">
        <v>4</v>
      </c>
      <c r="BZ6" s="1">
        <v>4</v>
      </c>
      <c r="CA6" s="1"/>
      <c r="CB6" s="1">
        <v>4</v>
      </c>
      <c r="CC6" s="1">
        <v>4</v>
      </c>
      <c r="CD6" s="1"/>
      <c r="CE6" s="1">
        <v>2</v>
      </c>
      <c r="CF6" s="1">
        <v>2</v>
      </c>
      <c r="CG6" s="1"/>
      <c r="CH6" s="1">
        <v>5</v>
      </c>
      <c r="CI6" s="1">
        <v>4</v>
      </c>
      <c r="CJ6" s="1"/>
      <c r="CK6" s="1">
        <v>1</v>
      </c>
      <c r="CL6" s="1">
        <v>5</v>
      </c>
      <c r="CM6" s="1"/>
      <c r="CN6" s="1">
        <v>4</v>
      </c>
      <c r="CO6" s="1">
        <v>4</v>
      </c>
      <c r="CP6" s="1"/>
      <c r="CQ6" s="1">
        <v>4</v>
      </c>
      <c r="CR6" s="1">
        <v>1</v>
      </c>
      <c r="CS6" s="1"/>
      <c r="CT6" s="1">
        <v>5</v>
      </c>
      <c r="CU6" s="1">
        <v>3</v>
      </c>
      <c r="CV6" s="1"/>
      <c r="CW6" s="1">
        <v>4</v>
      </c>
      <c r="CX6" s="1">
        <v>5</v>
      </c>
      <c r="CY6" s="1"/>
      <c r="CZ6" s="1">
        <v>4</v>
      </c>
      <c r="DA6" s="1">
        <v>4</v>
      </c>
      <c r="DB6" s="1"/>
      <c r="DC6" s="1">
        <v>5</v>
      </c>
      <c r="DD6" s="1">
        <v>2</v>
      </c>
    </row>
    <row r="7" spans="1:108" x14ac:dyDescent="0.25">
      <c r="A7" t="s">
        <v>79</v>
      </c>
      <c r="E7" s="1">
        <f t="shared" ref="E7:F7" si="0">AVERAGE(E6)</f>
        <v>1</v>
      </c>
      <c r="F7" s="1">
        <f t="shared" si="0"/>
        <v>1</v>
      </c>
      <c r="G7" s="1"/>
      <c r="H7" s="1">
        <f t="shared" ref="H7:I7" si="1">AVERAGE(H6)</f>
        <v>4</v>
      </c>
      <c r="I7" s="1">
        <f t="shared" si="1"/>
        <v>1</v>
      </c>
      <c r="J7" s="1"/>
      <c r="K7" s="1">
        <f t="shared" ref="K7:L7" si="2">AVERAGE(K6)</f>
        <v>5</v>
      </c>
      <c r="L7" s="1">
        <f t="shared" si="2"/>
        <v>5</v>
      </c>
      <c r="M7" s="1"/>
      <c r="N7" s="1">
        <f t="shared" ref="N7:O7" si="3">AVERAGE(N6)</f>
        <v>5</v>
      </c>
      <c r="O7" s="1">
        <f t="shared" si="3"/>
        <v>5</v>
      </c>
      <c r="P7" s="1"/>
      <c r="Q7" s="1">
        <f t="shared" ref="Q7:R7" si="4">AVERAGE(Q6)</f>
        <v>3</v>
      </c>
      <c r="R7" s="1">
        <f t="shared" si="4"/>
        <v>3</v>
      </c>
      <c r="S7" s="1"/>
      <c r="T7" s="1">
        <f t="shared" ref="T7:U7" si="5">AVERAGE(T6)</f>
        <v>4</v>
      </c>
      <c r="U7" s="1">
        <f t="shared" si="5"/>
        <v>5</v>
      </c>
      <c r="V7" s="1"/>
      <c r="W7" s="1">
        <f t="shared" ref="W7:X7" si="6">AVERAGE(W6)</f>
        <v>4</v>
      </c>
      <c r="X7" s="1">
        <f t="shared" si="6"/>
        <v>1</v>
      </c>
      <c r="Y7" s="1"/>
      <c r="Z7" s="1">
        <f t="shared" ref="Z7:AA7" si="7">AVERAGE(Z6)</f>
        <v>3</v>
      </c>
      <c r="AA7" s="1">
        <f t="shared" si="7"/>
        <v>1</v>
      </c>
      <c r="AB7" s="1"/>
      <c r="AC7" s="1">
        <f t="shared" ref="AC7:AD7" si="8">AVERAGE(AC6)</f>
        <v>4</v>
      </c>
      <c r="AD7" s="1">
        <f t="shared" si="8"/>
        <v>5</v>
      </c>
      <c r="AE7" s="1"/>
      <c r="AF7" s="1">
        <f t="shared" ref="AF7:AG7" si="9">AVERAGE(AF6)</f>
        <v>3</v>
      </c>
      <c r="AG7" s="1">
        <f t="shared" si="9"/>
        <v>3</v>
      </c>
      <c r="AH7" s="1"/>
      <c r="AI7" s="1">
        <f t="shared" ref="AI7:AJ7" si="10">AVERAGE(AI6)</f>
        <v>4</v>
      </c>
      <c r="AJ7" s="1">
        <f t="shared" si="10"/>
        <v>3</v>
      </c>
      <c r="AK7" s="1"/>
      <c r="AL7" s="1">
        <f t="shared" ref="AL7:AM7" si="11">AVERAGE(AL6)</f>
        <v>4</v>
      </c>
      <c r="AM7" s="1">
        <f t="shared" si="11"/>
        <v>3</v>
      </c>
      <c r="AN7" s="1"/>
      <c r="AO7" s="1">
        <f t="shared" ref="AO7:AP7" si="12">AVERAGE(AO6)</f>
        <v>5</v>
      </c>
      <c r="AP7" s="1">
        <f t="shared" si="12"/>
        <v>2</v>
      </c>
      <c r="AQ7" s="1"/>
      <c r="AR7" s="1">
        <f t="shared" ref="AR7:AS7" si="13">AVERAGE(AR6)</f>
        <v>4</v>
      </c>
      <c r="AS7" s="1">
        <f t="shared" si="13"/>
        <v>5</v>
      </c>
      <c r="AT7" s="1"/>
      <c r="AU7" s="1">
        <f t="shared" ref="AU7:AV7" si="14">AVERAGE(AU6)</f>
        <v>3</v>
      </c>
      <c r="AV7" s="1">
        <f t="shared" si="14"/>
        <v>5</v>
      </c>
      <c r="AW7" s="1"/>
      <c r="AX7" s="1">
        <f t="shared" ref="AX7:AY7" si="15">AVERAGE(AX6)</f>
        <v>1</v>
      </c>
      <c r="AY7" s="1">
        <f t="shared" si="15"/>
        <v>1</v>
      </c>
      <c r="AZ7" s="1"/>
      <c r="BA7" s="1">
        <f t="shared" ref="BA7:BB7" si="16">AVERAGE(BA6)</f>
        <v>5</v>
      </c>
      <c r="BB7" s="1">
        <f t="shared" si="16"/>
        <v>5</v>
      </c>
      <c r="BC7" s="1"/>
      <c r="BD7" s="1">
        <f t="shared" ref="BD7:BE7" si="17">AVERAGE(BD6)</f>
        <v>4</v>
      </c>
      <c r="BE7" s="1">
        <f t="shared" si="17"/>
        <v>4</v>
      </c>
      <c r="BF7" s="1"/>
      <c r="BG7" s="1">
        <f t="shared" ref="BG7:BH7" si="18">AVERAGE(BG6)</f>
        <v>5</v>
      </c>
      <c r="BH7" s="1">
        <f t="shared" si="18"/>
        <v>5</v>
      </c>
      <c r="BI7" s="1"/>
      <c r="BJ7" s="1">
        <f t="shared" ref="BJ7:BK7" si="19">AVERAGE(BJ6)</f>
        <v>4</v>
      </c>
      <c r="BK7" s="1">
        <f t="shared" si="19"/>
        <v>3</v>
      </c>
      <c r="BL7" s="1"/>
      <c r="BM7" s="1">
        <f t="shared" ref="BM7:BN7" si="20">AVERAGE(BM6)</f>
        <v>4</v>
      </c>
      <c r="BN7" s="1">
        <f t="shared" si="20"/>
        <v>4</v>
      </c>
      <c r="BO7" s="1"/>
      <c r="BP7" s="1">
        <f t="shared" ref="BP7:BQ7" si="21">AVERAGE(BP6)</f>
        <v>5</v>
      </c>
      <c r="BQ7" s="1">
        <f t="shared" si="21"/>
        <v>5</v>
      </c>
      <c r="BR7" s="1"/>
      <c r="BS7" s="1">
        <f t="shared" ref="BS7:BT7" si="22">AVERAGE(BS6)</f>
        <v>5</v>
      </c>
      <c r="BT7" s="1">
        <f t="shared" si="22"/>
        <v>5</v>
      </c>
      <c r="BU7" s="1"/>
      <c r="BV7" s="1">
        <f t="shared" ref="BV7:BW7" si="23">AVERAGE(BV6)</f>
        <v>5</v>
      </c>
      <c r="BW7" s="1">
        <f t="shared" si="23"/>
        <v>3</v>
      </c>
      <c r="BX7" s="1"/>
      <c r="BY7" s="1">
        <f t="shared" ref="BY7:BZ7" si="24">AVERAGE(BY6)</f>
        <v>4</v>
      </c>
      <c r="BZ7" s="1">
        <f t="shared" si="24"/>
        <v>4</v>
      </c>
      <c r="CA7" s="1"/>
      <c r="CB7" s="1">
        <f t="shared" ref="CB7:CC7" si="25">AVERAGE(CB6)</f>
        <v>4</v>
      </c>
      <c r="CC7" s="1">
        <f t="shared" si="25"/>
        <v>4</v>
      </c>
      <c r="CD7" s="1"/>
      <c r="CE7" s="1">
        <f t="shared" ref="CE7:CF7" si="26">AVERAGE(CE6)</f>
        <v>2</v>
      </c>
      <c r="CF7" s="1">
        <f t="shared" si="26"/>
        <v>2</v>
      </c>
      <c r="CG7" s="1"/>
      <c r="CH7" s="1">
        <f t="shared" ref="CH7:CI7" si="27">AVERAGE(CH6)</f>
        <v>5</v>
      </c>
      <c r="CI7" s="1">
        <f t="shared" si="27"/>
        <v>4</v>
      </c>
      <c r="CJ7" s="1"/>
      <c r="CK7" s="1">
        <f t="shared" ref="CK7:CL7" si="28">AVERAGE(CK6)</f>
        <v>1</v>
      </c>
      <c r="CL7" s="1">
        <f t="shared" si="28"/>
        <v>5</v>
      </c>
      <c r="CM7" s="1"/>
      <c r="CN7" s="1">
        <f t="shared" ref="CN7:CO7" si="29">AVERAGE(CN6)</f>
        <v>4</v>
      </c>
      <c r="CO7" s="1">
        <f t="shared" si="29"/>
        <v>4</v>
      </c>
      <c r="CP7" s="1"/>
      <c r="CQ7" s="1">
        <f t="shared" ref="CQ7:CR7" si="30">AVERAGE(CQ6)</f>
        <v>4</v>
      </c>
      <c r="CR7" s="1">
        <f t="shared" si="30"/>
        <v>1</v>
      </c>
      <c r="CS7" s="1"/>
      <c r="CT7" s="1">
        <f t="shared" ref="CT7:CU7" si="31">AVERAGE(CT6)</f>
        <v>5</v>
      </c>
      <c r="CU7" s="1">
        <f t="shared" si="31"/>
        <v>3</v>
      </c>
      <c r="CV7" s="1"/>
      <c r="CW7" s="1">
        <f t="shared" ref="CW7:CX7" si="32">AVERAGE(CW6)</f>
        <v>4</v>
      </c>
      <c r="CX7" s="1">
        <f t="shared" si="32"/>
        <v>5</v>
      </c>
      <c r="CY7" s="1"/>
      <c r="CZ7" s="1">
        <f t="shared" ref="CZ7:DA7" si="33">AVERAGE(CZ6)</f>
        <v>4</v>
      </c>
      <c r="DA7" s="1">
        <f t="shared" si="33"/>
        <v>4</v>
      </c>
      <c r="DB7" s="1"/>
      <c r="DC7" s="1">
        <f t="shared" ref="DC7:DD7" si="34">AVERAGE(DC6)</f>
        <v>5</v>
      </c>
      <c r="DD7" s="1">
        <f t="shared" si="34"/>
        <v>2</v>
      </c>
    </row>
    <row r="8" spans="1:108" x14ac:dyDescent="0.25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</row>
    <row r="9" spans="1:108" x14ac:dyDescent="0.25">
      <c r="A9" t="s">
        <v>80</v>
      </c>
      <c r="B9" t="s">
        <v>81</v>
      </c>
      <c r="C9">
        <v>89570</v>
      </c>
      <c r="E9" s="1">
        <v>4</v>
      </c>
      <c r="F9" s="1">
        <v>2</v>
      </c>
      <c r="G9" s="1"/>
      <c r="H9" s="1">
        <v>3</v>
      </c>
      <c r="I9" s="1">
        <v>2</v>
      </c>
      <c r="J9" s="1"/>
      <c r="K9" s="1">
        <v>4</v>
      </c>
      <c r="L9" s="1">
        <v>3</v>
      </c>
      <c r="M9" s="1"/>
      <c r="N9" s="1">
        <v>4</v>
      </c>
      <c r="O9" s="1">
        <v>5</v>
      </c>
      <c r="P9" s="1"/>
      <c r="Q9" s="1">
        <v>5</v>
      </c>
      <c r="R9" s="1">
        <v>5</v>
      </c>
      <c r="S9" s="1"/>
      <c r="T9" s="1">
        <v>5</v>
      </c>
      <c r="U9" s="1">
        <v>5</v>
      </c>
      <c r="V9" s="1"/>
      <c r="W9" s="1">
        <v>4</v>
      </c>
      <c r="X9" s="1">
        <v>3</v>
      </c>
      <c r="Y9" s="1"/>
      <c r="Z9" s="1">
        <v>3</v>
      </c>
      <c r="AA9" s="1">
        <v>4</v>
      </c>
      <c r="AB9" s="1"/>
      <c r="AC9" s="1">
        <v>2</v>
      </c>
      <c r="AD9" s="1">
        <v>5</v>
      </c>
      <c r="AE9" s="1"/>
      <c r="AF9" s="1">
        <v>5</v>
      </c>
      <c r="AG9" s="1">
        <v>5</v>
      </c>
      <c r="AH9" s="1"/>
      <c r="AI9" s="1">
        <v>4</v>
      </c>
      <c r="AJ9" s="1">
        <v>5</v>
      </c>
      <c r="AK9" s="1"/>
      <c r="AL9" s="1">
        <v>4</v>
      </c>
      <c r="AM9" s="1">
        <v>5</v>
      </c>
      <c r="AN9" s="1"/>
      <c r="AO9" s="1">
        <v>5</v>
      </c>
      <c r="AP9" s="1">
        <v>5</v>
      </c>
      <c r="AQ9" s="1"/>
      <c r="AR9" s="1">
        <v>5</v>
      </c>
      <c r="AS9" s="1">
        <v>4</v>
      </c>
      <c r="AT9" s="1"/>
      <c r="AU9" s="1">
        <v>5</v>
      </c>
      <c r="AV9" s="1">
        <v>5</v>
      </c>
      <c r="AW9" s="1"/>
      <c r="AX9" s="1">
        <v>4</v>
      </c>
      <c r="AY9" s="1">
        <v>1</v>
      </c>
      <c r="AZ9" s="1"/>
      <c r="BA9" s="1">
        <v>5</v>
      </c>
      <c r="BB9" s="1">
        <v>5</v>
      </c>
      <c r="BC9" s="1"/>
      <c r="BD9" s="1">
        <v>2</v>
      </c>
      <c r="BE9" s="1">
        <v>4</v>
      </c>
      <c r="BF9" s="1"/>
      <c r="BG9" s="1">
        <v>5</v>
      </c>
      <c r="BH9" s="1">
        <v>5</v>
      </c>
      <c r="BI9" s="1"/>
      <c r="BJ9" s="1">
        <v>5</v>
      </c>
      <c r="BK9" s="1">
        <v>3</v>
      </c>
      <c r="BL9" s="1"/>
      <c r="BM9" s="1">
        <v>5</v>
      </c>
      <c r="BN9" s="1">
        <v>3</v>
      </c>
      <c r="BO9" s="1"/>
      <c r="BP9" s="1">
        <v>3</v>
      </c>
      <c r="BQ9" s="1">
        <v>5</v>
      </c>
      <c r="BR9" s="1"/>
      <c r="BS9" s="1">
        <v>5</v>
      </c>
      <c r="BT9" s="1">
        <v>4</v>
      </c>
      <c r="BU9" s="1"/>
      <c r="BV9" s="1">
        <v>5</v>
      </c>
      <c r="BW9" s="1">
        <v>4</v>
      </c>
      <c r="BX9" s="1"/>
      <c r="BY9" s="1">
        <v>3</v>
      </c>
      <c r="BZ9" s="1">
        <v>5</v>
      </c>
      <c r="CA9" s="1"/>
      <c r="CB9" s="1">
        <v>5</v>
      </c>
      <c r="CC9" s="1">
        <v>2</v>
      </c>
      <c r="CD9" s="1"/>
      <c r="CE9" s="1">
        <v>5</v>
      </c>
      <c r="CF9" s="1">
        <v>3</v>
      </c>
      <c r="CG9" s="1"/>
      <c r="CH9" s="1">
        <v>5</v>
      </c>
      <c r="CI9" s="1">
        <v>3</v>
      </c>
      <c r="CJ9" s="1"/>
      <c r="CK9" s="1">
        <v>3</v>
      </c>
      <c r="CL9" s="1">
        <v>4</v>
      </c>
      <c r="CM9" s="1"/>
      <c r="CN9" s="1">
        <v>3</v>
      </c>
      <c r="CO9" s="1">
        <v>3</v>
      </c>
      <c r="CP9" s="1"/>
      <c r="CQ9" s="1">
        <v>4</v>
      </c>
      <c r="CR9" s="1">
        <v>1</v>
      </c>
      <c r="CS9" s="1"/>
      <c r="CT9" s="1">
        <v>4</v>
      </c>
      <c r="CU9" s="1">
        <v>3</v>
      </c>
      <c r="CV9" s="1"/>
      <c r="CW9" s="1">
        <v>2</v>
      </c>
      <c r="CX9" s="1">
        <v>2</v>
      </c>
      <c r="CY9" s="1"/>
      <c r="CZ9" s="1">
        <v>4</v>
      </c>
      <c r="DA9" s="1">
        <v>5</v>
      </c>
      <c r="DB9" s="1"/>
      <c r="DC9" s="1">
        <v>5</v>
      </c>
      <c r="DD9" s="1">
        <v>4</v>
      </c>
    </row>
    <row r="10" spans="1:108" x14ac:dyDescent="0.25">
      <c r="A10" t="s">
        <v>82</v>
      </c>
      <c r="B10" t="s">
        <v>81</v>
      </c>
      <c r="C10">
        <v>10268</v>
      </c>
      <c r="E10" s="1">
        <v>2</v>
      </c>
      <c r="F10" s="1">
        <v>1</v>
      </c>
      <c r="G10" s="1"/>
      <c r="H10" s="1">
        <v>3</v>
      </c>
      <c r="I10" s="1">
        <v>1</v>
      </c>
      <c r="J10" s="1"/>
      <c r="K10" s="1">
        <v>2</v>
      </c>
      <c r="L10" s="1">
        <v>3</v>
      </c>
      <c r="M10" s="1"/>
      <c r="N10" s="1">
        <v>5</v>
      </c>
      <c r="O10" s="1">
        <v>3</v>
      </c>
      <c r="P10" s="1"/>
      <c r="Q10" s="1">
        <v>2</v>
      </c>
      <c r="R10" s="1">
        <v>4</v>
      </c>
      <c r="S10" s="1"/>
      <c r="T10" s="1">
        <v>3</v>
      </c>
      <c r="U10" s="1">
        <v>3</v>
      </c>
      <c r="V10" s="1"/>
      <c r="W10" s="1">
        <v>3</v>
      </c>
      <c r="X10" s="1">
        <v>2</v>
      </c>
      <c r="Y10" s="1"/>
      <c r="Z10" s="1">
        <v>3</v>
      </c>
      <c r="AA10" s="1">
        <v>1</v>
      </c>
      <c r="AB10" s="1"/>
      <c r="AC10" s="1">
        <v>2</v>
      </c>
      <c r="AD10" s="1">
        <v>5</v>
      </c>
      <c r="AE10" s="1"/>
      <c r="AF10" s="1">
        <v>4</v>
      </c>
      <c r="AG10" s="1">
        <v>5</v>
      </c>
      <c r="AH10" s="1"/>
      <c r="AI10" s="1">
        <v>4</v>
      </c>
      <c r="AJ10" s="1">
        <v>3</v>
      </c>
      <c r="AK10" s="1"/>
      <c r="AL10" s="1">
        <v>2</v>
      </c>
      <c r="AM10" s="1">
        <v>2</v>
      </c>
      <c r="AN10" s="1"/>
      <c r="AO10" s="1">
        <v>5</v>
      </c>
      <c r="AP10" s="1">
        <v>2</v>
      </c>
      <c r="AQ10" s="1"/>
      <c r="AR10" s="1">
        <v>1</v>
      </c>
      <c r="AS10" s="1">
        <v>2</v>
      </c>
      <c r="AT10" s="1"/>
      <c r="AU10" s="1">
        <v>2</v>
      </c>
      <c r="AV10" s="1">
        <v>4</v>
      </c>
      <c r="AW10" s="1"/>
      <c r="AX10" s="1">
        <v>3</v>
      </c>
      <c r="AY10" s="1">
        <v>1</v>
      </c>
      <c r="AZ10" s="1"/>
      <c r="BA10" s="1">
        <v>3</v>
      </c>
      <c r="BB10" s="1">
        <v>3</v>
      </c>
      <c r="BC10" s="1"/>
      <c r="BD10" s="1">
        <v>2</v>
      </c>
      <c r="BE10" s="1">
        <v>4</v>
      </c>
      <c r="BF10" s="1"/>
      <c r="BG10" s="1">
        <v>3</v>
      </c>
      <c r="BH10" s="1">
        <v>3</v>
      </c>
      <c r="BI10" s="1"/>
      <c r="BJ10" s="1">
        <v>2</v>
      </c>
      <c r="BK10" s="1">
        <v>1</v>
      </c>
      <c r="BL10" s="1"/>
      <c r="BM10" s="1">
        <v>2</v>
      </c>
      <c r="BN10" s="1">
        <v>2</v>
      </c>
      <c r="BO10" s="1"/>
      <c r="BP10" s="1">
        <v>3</v>
      </c>
      <c r="BQ10" s="1">
        <v>2</v>
      </c>
      <c r="BR10" s="1"/>
      <c r="BS10" s="1">
        <v>3</v>
      </c>
      <c r="BT10" s="1">
        <v>3</v>
      </c>
      <c r="BU10" s="1"/>
      <c r="BV10" s="1">
        <v>4</v>
      </c>
      <c r="BW10" s="1">
        <v>1</v>
      </c>
      <c r="BX10" s="1"/>
      <c r="BY10" s="1">
        <v>3</v>
      </c>
      <c r="BZ10" s="1">
        <v>4</v>
      </c>
      <c r="CA10" s="1"/>
      <c r="CB10" s="1">
        <v>1</v>
      </c>
      <c r="CC10" s="1">
        <v>2</v>
      </c>
      <c r="CD10" s="1"/>
      <c r="CE10" s="1">
        <v>2</v>
      </c>
      <c r="CF10" s="1">
        <v>3</v>
      </c>
      <c r="CG10" s="1"/>
      <c r="CH10" s="1">
        <v>2</v>
      </c>
      <c r="CI10" s="1">
        <v>1</v>
      </c>
      <c r="CJ10" s="1"/>
      <c r="CK10" s="1">
        <v>2</v>
      </c>
      <c r="CL10" s="1">
        <v>4</v>
      </c>
      <c r="CM10" s="1"/>
      <c r="CN10" s="1">
        <v>5</v>
      </c>
      <c r="CO10" s="1">
        <v>5</v>
      </c>
      <c r="CP10" s="1"/>
      <c r="CQ10" s="1">
        <v>2</v>
      </c>
      <c r="CR10" s="1">
        <v>1</v>
      </c>
      <c r="CS10" s="1"/>
      <c r="CT10" s="1">
        <v>3</v>
      </c>
      <c r="CU10" s="1">
        <v>1</v>
      </c>
      <c r="CV10" s="1"/>
      <c r="CW10" s="1">
        <v>2</v>
      </c>
      <c r="CX10" s="1">
        <v>3</v>
      </c>
      <c r="CY10" s="1"/>
      <c r="CZ10" s="1">
        <v>3</v>
      </c>
      <c r="DA10" s="1">
        <v>1</v>
      </c>
      <c r="DB10" s="1"/>
      <c r="DC10" s="1">
        <v>4</v>
      </c>
      <c r="DD10" s="1">
        <v>5</v>
      </c>
    </row>
    <row r="11" spans="1:108" x14ac:dyDescent="0.25">
      <c r="A11" t="s">
        <v>79</v>
      </c>
      <c r="E11" s="1">
        <f t="shared" ref="E11:F11" si="35">AVERAGE(E9:E10)</f>
        <v>3</v>
      </c>
      <c r="F11" s="1">
        <f t="shared" si="35"/>
        <v>1.5</v>
      </c>
      <c r="G11" s="1"/>
      <c r="H11" s="1">
        <f t="shared" ref="H11:I11" si="36">AVERAGE(H9:H10)</f>
        <v>3</v>
      </c>
      <c r="I11" s="1">
        <f t="shared" si="36"/>
        <v>1.5</v>
      </c>
      <c r="J11" s="1"/>
      <c r="K11" s="1">
        <f t="shared" ref="K11:L11" si="37">AVERAGE(K9:K10)</f>
        <v>3</v>
      </c>
      <c r="L11" s="1">
        <f t="shared" si="37"/>
        <v>3</v>
      </c>
      <c r="M11" s="1"/>
      <c r="N11" s="1">
        <f t="shared" ref="N11:O11" si="38">AVERAGE(N9:N10)</f>
        <v>4.5</v>
      </c>
      <c r="O11" s="1">
        <f t="shared" si="38"/>
        <v>4</v>
      </c>
      <c r="P11" s="1"/>
      <c r="Q11" s="1">
        <f t="shared" ref="Q11:R11" si="39">AVERAGE(Q9:Q10)</f>
        <v>3.5</v>
      </c>
      <c r="R11" s="1">
        <f t="shared" si="39"/>
        <v>4.5</v>
      </c>
      <c r="S11" s="1"/>
      <c r="T11" s="1">
        <f t="shared" ref="T11:U11" si="40">AVERAGE(T9:T10)</f>
        <v>4</v>
      </c>
      <c r="U11" s="1">
        <f t="shared" si="40"/>
        <v>4</v>
      </c>
      <c r="V11" s="1"/>
      <c r="W11" s="1">
        <f t="shared" ref="W11:X11" si="41">AVERAGE(W9:W10)</f>
        <v>3.5</v>
      </c>
      <c r="X11" s="1">
        <f t="shared" si="41"/>
        <v>2.5</v>
      </c>
      <c r="Y11" s="1"/>
      <c r="Z11" s="1">
        <f t="shared" ref="Z11:AA11" si="42">AVERAGE(Z9:Z10)</f>
        <v>3</v>
      </c>
      <c r="AA11" s="1">
        <f t="shared" si="42"/>
        <v>2.5</v>
      </c>
      <c r="AB11" s="1"/>
      <c r="AC11" s="1">
        <f t="shared" ref="AC11:AD11" si="43">AVERAGE(AC9:AC10)</f>
        <v>2</v>
      </c>
      <c r="AD11" s="1">
        <f t="shared" si="43"/>
        <v>5</v>
      </c>
      <c r="AE11" s="1"/>
      <c r="AF11" s="1">
        <f t="shared" ref="AF11:AG11" si="44">AVERAGE(AF9:AF10)</f>
        <v>4.5</v>
      </c>
      <c r="AG11" s="1">
        <f t="shared" si="44"/>
        <v>5</v>
      </c>
      <c r="AH11" s="1"/>
      <c r="AI11" s="1">
        <f t="shared" ref="AI11:AJ11" si="45">AVERAGE(AI9:AI10)</f>
        <v>4</v>
      </c>
      <c r="AJ11" s="1">
        <f t="shared" si="45"/>
        <v>4</v>
      </c>
      <c r="AK11" s="1"/>
      <c r="AL11" s="1">
        <f t="shared" ref="AL11:AM11" si="46">AVERAGE(AL9:AL10)</f>
        <v>3</v>
      </c>
      <c r="AM11" s="1">
        <f t="shared" si="46"/>
        <v>3.5</v>
      </c>
      <c r="AN11" s="1"/>
      <c r="AO11" s="1">
        <f t="shared" ref="AO11:AP11" si="47">AVERAGE(AO9:AO10)</f>
        <v>5</v>
      </c>
      <c r="AP11" s="1">
        <f t="shared" si="47"/>
        <v>3.5</v>
      </c>
      <c r="AQ11" s="1"/>
      <c r="AR11" s="1">
        <f t="shared" ref="AR11:AS11" si="48">AVERAGE(AR9:AR10)</f>
        <v>3</v>
      </c>
      <c r="AS11" s="1">
        <f t="shared" si="48"/>
        <v>3</v>
      </c>
      <c r="AT11" s="1"/>
      <c r="AU11" s="1">
        <f t="shared" ref="AU11:AV11" si="49">AVERAGE(AU9:AU10)</f>
        <v>3.5</v>
      </c>
      <c r="AV11" s="1">
        <f t="shared" si="49"/>
        <v>4.5</v>
      </c>
      <c r="AW11" s="1"/>
      <c r="AX11" s="1">
        <f t="shared" ref="AX11:AY11" si="50">AVERAGE(AX9:AX10)</f>
        <v>3.5</v>
      </c>
      <c r="AY11" s="1">
        <f t="shared" si="50"/>
        <v>1</v>
      </c>
      <c r="AZ11" s="1"/>
      <c r="BA11" s="1">
        <f t="shared" ref="BA11:BB11" si="51">AVERAGE(BA9:BA10)</f>
        <v>4</v>
      </c>
      <c r="BB11" s="1">
        <f t="shared" si="51"/>
        <v>4</v>
      </c>
      <c r="BC11" s="1"/>
      <c r="BD11" s="1">
        <f t="shared" ref="BD11:BE11" si="52">AVERAGE(BD9:BD10)</f>
        <v>2</v>
      </c>
      <c r="BE11" s="1">
        <f t="shared" si="52"/>
        <v>4</v>
      </c>
      <c r="BF11" s="1"/>
      <c r="BG11" s="1">
        <f t="shared" ref="BG11:BH11" si="53">AVERAGE(BG9:BG10)</f>
        <v>4</v>
      </c>
      <c r="BH11" s="1">
        <f t="shared" si="53"/>
        <v>4</v>
      </c>
      <c r="BI11" s="1"/>
      <c r="BJ11" s="1">
        <f t="shared" ref="BJ11:BK11" si="54">AVERAGE(BJ9:BJ10)</f>
        <v>3.5</v>
      </c>
      <c r="BK11" s="1">
        <f t="shared" si="54"/>
        <v>2</v>
      </c>
      <c r="BL11" s="1"/>
      <c r="BM11" s="1">
        <f t="shared" ref="BM11:BN11" si="55">AVERAGE(BM9:BM10)</f>
        <v>3.5</v>
      </c>
      <c r="BN11" s="1">
        <f t="shared" si="55"/>
        <v>2.5</v>
      </c>
      <c r="BO11" s="1"/>
      <c r="BP11" s="1">
        <f t="shared" ref="BP11:BQ11" si="56">AVERAGE(BP9:BP10)</f>
        <v>3</v>
      </c>
      <c r="BQ11" s="1">
        <f t="shared" si="56"/>
        <v>3.5</v>
      </c>
      <c r="BR11" s="1"/>
      <c r="BS11" s="1">
        <f t="shared" ref="BS11:BT11" si="57">AVERAGE(BS9:BS10)</f>
        <v>4</v>
      </c>
      <c r="BT11" s="1">
        <f t="shared" si="57"/>
        <v>3.5</v>
      </c>
      <c r="BU11" s="1"/>
      <c r="BV11" s="1">
        <f t="shared" ref="BV11:BW11" si="58">AVERAGE(BV9:BV10)</f>
        <v>4.5</v>
      </c>
      <c r="BW11" s="1">
        <f t="shared" si="58"/>
        <v>2.5</v>
      </c>
      <c r="BX11" s="1"/>
      <c r="BY11" s="1">
        <f t="shared" ref="BY11:BZ11" si="59">AVERAGE(BY9:BY10)</f>
        <v>3</v>
      </c>
      <c r="BZ11" s="1">
        <f t="shared" si="59"/>
        <v>4.5</v>
      </c>
      <c r="CA11" s="1"/>
      <c r="CB11" s="1">
        <f t="shared" ref="CB11:CC11" si="60">AVERAGE(CB9:CB10)</f>
        <v>3</v>
      </c>
      <c r="CC11" s="1">
        <f t="shared" si="60"/>
        <v>2</v>
      </c>
      <c r="CD11" s="1"/>
      <c r="CE11" s="1">
        <f t="shared" ref="CE11:CF11" si="61">AVERAGE(CE9:CE10)</f>
        <v>3.5</v>
      </c>
      <c r="CF11" s="1">
        <f t="shared" si="61"/>
        <v>3</v>
      </c>
      <c r="CG11" s="1"/>
      <c r="CH11" s="1">
        <f t="shared" ref="CH11:CI11" si="62">AVERAGE(CH9:CH10)</f>
        <v>3.5</v>
      </c>
      <c r="CI11" s="1">
        <f t="shared" si="62"/>
        <v>2</v>
      </c>
      <c r="CJ11" s="1"/>
      <c r="CK11" s="1">
        <f t="shared" ref="CK11:CL11" si="63">AVERAGE(CK9:CK10)</f>
        <v>2.5</v>
      </c>
      <c r="CL11" s="1">
        <f t="shared" si="63"/>
        <v>4</v>
      </c>
      <c r="CM11" s="1"/>
      <c r="CN11" s="1">
        <f t="shared" ref="CN11:CO11" si="64">AVERAGE(CN9:CN10)</f>
        <v>4</v>
      </c>
      <c r="CO11" s="1">
        <f t="shared" si="64"/>
        <v>4</v>
      </c>
      <c r="CP11" s="1"/>
      <c r="CQ11" s="1">
        <f t="shared" ref="CQ11:CR11" si="65">AVERAGE(CQ9:CQ10)</f>
        <v>3</v>
      </c>
      <c r="CR11" s="1">
        <f t="shared" si="65"/>
        <v>1</v>
      </c>
      <c r="CS11" s="1"/>
      <c r="CT11" s="1">
        <f t="shared" ref="CT11:CU11" si="66">AVERAGE(CT9:CT10)</f>
        <v>3.5</v>
      </c>
      <c r="CU11" s="1">
        <f t="shared" si="66"/>
        <v>2</v>
      </c>
      <c r="CV11" s="1"/>
      <c r="CW11" s="1">
        <f t="shared" ref="CW11:CX11" si="67">AVERAGE(CW9:CW10)</f>
        <v>2</v>
      </c>
      <c r="CX11" s="1">
        <f t="shared" si="67"/>
        <v>2.5</v>
      </c>
      <c r="CY11" s="1"/>
      <c r="CZ11" s="1">
        <f t="shared" ref="CZ11:DA11" si="68">AVERAGE(CZ9:CZ10)</f>
        <v>3.5</v>
      </c>
      <c r="DA11" s="1">
        <f t="shared" si="68"/>
        <v>3</v>
      </c>
      <c r="DB11" s="1"/>
      <c r="DC11" s="1">
        <f t="shared" ref="DC11:DD11" si="69">AVERAGE(DC9:DC10)</f>
        <v>4.5</v>
      </c>
      <c r="DD11" s="1">
        <f t="shared" si="69"/>
        <v>4.5</v>
      </c>
    </row>
    <row r="12" spans="1:108" x14ac:dyDescent="0.25"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</row>
    <row r="13" spans="1:108" x14ac:dyDescent="0.25">
      <c r="A13" t="s">
        <v>83</v>
      </c>
      <c r="B13" t="s">
        <v>84</v>
      </c>
      <c r="C13">
        <v>5511</v>
      </c>
      <c r="E13" s="1">
        <v>3</v>
      </c>
      <c r="F13" s="1">
        <v>2</v>
      </c>
      <c r="G13" s="1"/>
      <c r="H13" s="1">
        <v>5</v>
      </c>
      <c r="I13" s="1">
        <v>1</v>
      </c>
      <c r="J13" s="1"/>
      <c r="K13" s="1">
        <v>4</v>
      </c>
      <c r="L13" s="1">
        <v>4</v>
      </c>
      <c r="M13" s="1"/>
      <c r="N13" s="1">
        <v>4</v>
      </c>
      <c r="O13" s="1">
        <v>3</v>
      </c>
      <c r="P13" s="1"/>
      <c r="Q13" s="1">
        <v>2</v>
      </c>
      <c r="R13" s="1">
        <v>4</v>
      </c>
      <c r="S13" s="1"/>
      <c r="T13" s="1">
        <v>5</v>
      </c>
      <c r="U13" s="1">
        <v>4</v>
      </c>
      <c r="V13" s="1"/>
      <c r="W13" s="1">
        <v>2</v>
      </c>
      <c r="X13" s="1">
        <v>2</v>
      </c>
      <c r="Y13" s="1"/>
      <c r="Z13" s="1">
        <v>2</v>
      </c>
      <c r="AA13" s="1">
        <v>3</v>
      </c>
      <c r="AB13" s="1"/>
      <c r="AC13" s="1">
        <v>3</v>
      </c>
      <c r="AD13" s="1">
        <v>4</v>
      </c>
      <c r="AE13" s="1"/>
      <c r="AF13" s="1">
        <v>5</v>
      </c>
      <c r="AG13" s="1">
        <v>3</v>
      </c>
      <c r="AH13" s="1"/>
      <c r="AI13" s="1">
        <v>5</v>
      </c>
      <c r="AJ13" s="1">
        <v>4</v>
      </c>
      <c r="AK13" s="1"/>
      <c r="AL13" s="1">
        <v>4</v>
      </c>
      <c r="AM13" s="1">
        <v>2</v>
      </c>
      <c r="AN13" s="1"/>
      <c r="AO13" s="1">
        <v>3</v>
      </c>
      <c r="AP13" s="1">
        <v>4</v>
      </c>
      <c r="AQ13" s="1"/>
      <c r="AR13" s="1">
        <v>1</v>
      </c>
      <c r="AS13" s="1">
        <v>4</v>
      </c>
      <c r="AT13" s="1"/>
      <c r="AU13" s="1">
        <v>2</v>
      </c>
      <c r="AV13" s="1">
        <v>5</v>
      </c>
      <c r="AW13" s="1"/>
      <c r="AX13" s="1">
        <v>1</v>
      </c>
      <c r="AY13" s="1">
        <v>2</v>
      </c>
      <c r="AZ13" s="1"/>
      <c r="BA13" s="1">
        <v>2</v>
      </c>
      <c r="BB13" s="1">
        <v>2</v>
      </c>
      <c r="BC13" s="1"/>
      <c r="BD13" s="1">
        <v>5</v>
      </c>
      <c r="BE13" s="1">
        <v>3</v>
      </c>
      <c r="BF13" s="1"/>
      <c r="BG13" s="1">
        <v>4</v>
      </c>
      <c r="BH13" s="1">
        <v>4</v>
      </c>
      <c r="BI13" s="1"/>
      <c r="BJ13" s="1">
        <v>5</v>
      </c>
      <c r="BK13" s="1">
        <v>3</v>
      </c>
      <c r="BL13" s="1"/>
      <c r="BM13" s="1">
        <v>4</v>
      </c>
      <c r="BN13" s="1">
        <v>4</v>
      </c>
      <c r="BO13" s="1"/>
      <c r="BP13" s="1">
        <v>3</v>
      </c>
      <c r="BQ13" s="1">
        <v>4</v>
      </c>
      <c r="BR13" s="1"/>
      <c r="BS13" s="1">
        <v>4</v>
      </c>
      <c r="BT13" s="1">
        <v>4</v>
      </c>
      <c r="BU13" s="1"/>
      <c r="BV13" s="1">
        <v>3</v>
      </c>
      <c r="BW13" s="1">
        <v>3</v>
      </c>
      <c r="BX13" s="1"/>
      <c r="BY13" s="1">
        <v>4</v>
      </c>
      <c r="BZ13" s="1">
        <v>3</v>
      </c>
      <c r="CA13" s="1"/>
      <c r="CB13" s="1">
        <v>3</v>
      </c>
      <c r="CC13" s="1">
        <v>2</v>
      </c>
      <c r="CD13" s="1"/>
      <c r="CE13" s="1">
        <v>1</v>
      </c>
      <c r="CF13" s="1">
        <v>2</v>
      </c>
      <c r="CG13" s="1"/>
      <c r="CH13" s="1">
        <v>3</v>
      </c>
      <c r="CI13" s="1">
        <v>4</v>
      </c>
      <c r="CJ13" s="1"/>
      <c r="CK13" s="1">
        <v>4</v>
      </c>
      <c r="CL13" s="1">
        <v>1</v>
      </c>
      <c r="CM13" s="1"/>
      <c r="CN13" s="1">
        <v>4</v>
      </c>
      <c r="CO13" s="1">
        <v>5</v>
      </c>
      <c r="CP13" s="1"/>
      <c r="CQ13" s="1">
        <v>1</v>
      </c>
      <c r="CR13" s="1">
        <v>1</v>
      </c>
      <c r="CS13" s="1"/>
      <c r="CT13" s="1">
        <v>2</v>
      </c>
      <c r="CU13" s="1">
        <v>3</v>
      </c>
      <c r="CV13" s="1"/>
      <c r="CW13" s="1">
        <v>1</v>
      </c>
      <c r="CX13" s="1">
        <v>3</v>
      </c>
      <c r="CY13" s="1"/>
      <c r="CZ13" s="1">
        <v>4</v>
      </c>
      <c r="DA13" s="1">
        <v>1</v>
      </c>
      <c r="DB13" s="1"/>
      <c r="DC13" s="1">
        <v>3</v>
      </c>
      <c r="DD13" s="1">
        <v>5</v>
      </c>
    </row>
    <row r="14" spans="1:108" x14ac:dyDescent="0.25">
      <c r="A14" t="s">
        <v>85</v>
      </c>
      <c r="B14" t="s">
        <v>84</v>
      </c>
      <c r="C14">
        <v>60081</v>
      </c>
      <c r="E14" s="1">
        <v>3</v>
      </c>
      <c r="F14" s="1">
        <v>2</v>
      </c>
      <c r="G14" s="1"/>
      <c r="H14" s="1">
        <v>5</v>
      </c>
      <c r="I14" s="1">
        <v>3</v>
      </c>
      <c r="J14" s="1"/>
      <c r="K14" s="1">
        <v>3</v>
      </c>
      <c r="L14" s="1">
        <v>3</v>
      </c>
      <c r="M14" s="1"/>
      <c r="N14" s="1">
        <v>4</v>
      </c>
      <c r="O14" s="1">
        <v>4</v>
      </c>
      <c r="P14" s="1"/>
      <c r="Q14" s="1">
        <v>3</v>
      </c>
      <c r="R14" s="1">
        <v>4</v>
      </c>
      <c r="S14" s="1"/>
      <c r="T14" s="1">
        <v>4</v>
      </c>
      <c r="U14" s="1">
        <v>4</v>
      </c>
      <c r="V14" s="1"/>
      <c r="W14" s="1">
        <v>3</v>
      </c>
      <c r="X14" s="1">
        <v>3</v>
      </c>
      <c r="Y14" s="1"/>
      <c r="Z14" s="1">
        <v>4</v>
      </c>
      <c r="AA14" s="1">
        <v>1</v>
      </c>
      <c r="AB14" s="1"/>
      <c r="AC14" s="1">
        <v>3</v>
      </c>
      <c r="AD14" s="1">
        <v>4</v>
      </c>
      <c r="AE14" s="1"/>
      <c r="AF14" s="1">
        <v>3</v>
      </c>
      <c r="AG14" s="1">
        <v>2</v>
      </c>
      <c r="AH14" s="1"/>
      <c r="AI14" s="1">
        <v>4</v>
      </c>
      <c r="AJ14" s="1">
        <v>1</v>
      </c>
      <c r="AK14" s="1"/>
      <c r="AL14" s="1">
        <v>4</v>
      </c>
      <c r="AM14" s="1">
        <v>3</v>
      </c>
      <c r="AN14" s="1"/>
      <c r="AO14" s="1">
        <v>3</v>
      </c>
      <c r="AP14" s="1">
        <v>2</v>
      </c>
      <c r="AQ14" s="1"/>
      <c r="AR14" s="1">
        <v>3</v>
      </c>
      <c r="AS14" s="1">
        <v>5</v>
      </c>
      <c r="AT14" s="1"/>
      <c r="AU14" s="1">
        <v>3</v>
      </c>
      <c r="AV14" s="1">
        <v>3</v>
      </c>
      <c r="AW14" s="1"/>
      <c r="AX14" s="1">
        <v>2</v>
      </c>
      <c r="AY14" s="1">
        <v>1</v>
      </c>
      <c r="AZ14" s="1"/>
      <c r="BA14" s="1">
        <v>4</v>
      </c>
      <c r="BB14" s="1">
        <v>4</v>
      </c>
      <c r="BC14" s="1"/>
      <c r="BD14" s="1">
        <v>3</v>
      </c>
      <c r="BE14" s="1">
        <v>3</v>
      </c>
      <c r="BF14" s="1"/>
      <c r="BG14" s="1">
        <v>3</v>
      </c>
      <c r="BH14" s="1">
        <v>5</v>
      </c>
      <c r="BI14" s="1"/>
      <c r="BJ14" s="1">
        <v>4</v>
      </c>
      <c r="BK14" s="1">
        <v>3</v>
      </c>
      <c r="BL14" s="1"/>
      <c r="BM14" s="1">
        <v>4</v>
      </c>
      <c r="BN14" s="1">
        <v>4</v>
      </c>
      <c r="BO14" s="1"/>
      <c r="BP14" s="1">
        <v>3</v>
      </c>
      <c r="BQ14" s="1">
        <v>3</v>
      </c>
      <c r="BR14" s="1"/>
      <c r="BS14" s="1">
        <v>4</v>
      </c>
      <c r="BT14" s="1">
        <v>5</v>
      </c>
      <c r="BU14" s="1"/>
      <c r="BV14" s="1">
        <v>4</v>
      </c>
      <c r="BW14" s="1">
        <v>4</v>
      </c>
      <c r="BX14" s="1"/>
      <c r="BY14" s="1">
        <v>3</v>
      </c>
      <c r="BZ14" s="1">
        <v>3</v>
      </c>
      <c r="CA14" s="1"/>
      <c r="CB14" s="1">
        <v>3</v>
      </c>
      <c r="CC14" s="1">
        <v>5</v>
      </c>
      <c r="CD14" s="1"/>
      <c r="CE14" s="1">
        <v>1</v>
      </c>
      <c r="CF14" s="1">
        <v>3</v>
      </c>
      <c r="CG14" s="1"/>
      <c r="CH14" s="1">
        <v>2</v>
      </c>
      <c r="CI14" s="1">
        <v>4</v>
      </c>
      <c r="CJ14" s="1"/>
      <c r="CK14" s="1">
        <v>2</v>
      </c>
      <c r="CL14" s="1">
        <v>5</v>
      </c>
      <c r="CM14" s="1"/>
      <c r="CN14" s="1">
        <v>3</v>
      </c>
      <c r="CO14" s="1">
        <v>4</v>
      </c>
      <c r="CP14" s="1"/>
      <c r="CQ14" s="1">
        <v>5</v>
      </c>
      <c r="CR14" s="1">
        <v>1</v>
      </c>
      <c r="CS14" s="1"/>
      <c r="CT14" s="1">
        <v>4</v>
      </c>
      <c r="CU14" s="1">
        <v>2</v>
      </c>
      <c r="CV14" s="1"/>
      <c r="CW14" s="1">
        <v>2</v>
      </c>
      <c r="CX14" s="1">
        <v>3</v>
      </c>
      <c r="CY14" s="1"/>
      <c r="CZ14" s="1">
        <v>3</v>
      </c>
      <c r="DA14" s="1">
        <v>1</v>
      </c>
      <c r="DB14" s="1"/>
      <c r="DC14" s="1">
        <v>3</v>
      </c>
      <c r="DD14" s="1">
        <v>4</v>
      </c>
    </row>
    <row r="15" spans="1:108" x14ac:dyDescent="0.25">
      <c r="A15" t="s">
        <v>79</v>
      </c>
      <c r="E15" s="1">
        <f t="shared" ref="E15:F15" si="70">AVERAGE(E13:E14)</f>
        <v>3</v>
      </c>
      <c r="F15" s="1">
        <f t="shared" si="70"/>
        <v>2</v>
      </c>
      <c r="G15" s="1"/>
      <c r="H15" s="1">
        <f t="shared" ref="H15:I15" si="71">AVERAGE(H13:H14)</f>
        <v>5</v>
      </c>
      <c r="I15" s="1">
        <f t="shared" si="71"/>
        <v>2</v>
      </c>
      <c r="J15" s="1"/>
      <c r="K15" s="1">
        <f t="shared" ref="K15:L15" si="72">AVERAGE(K13:K14)</f>
        <v>3.5</v>
      </c>
      <c r="L15" s="1">
        <f t="shared" si="72"/>
        <v>3.5</v>
      </c>
      <c r="M15" s="1"/>
      <c r="N15" s="1">
        <f t="shared" ref="N15:O15" si="73">AVERAGE(N13:N14)</f>
        <v>4</v>
      </c>
      <c r="O15" s="1">
        <f t="shared" si="73"/>
        <v>3.5</v>
      </c>
      <c r="P15" s="1"/>
      <c r="Q15" s="1">
        <f t="shared" ref="Q15:R15" si="74">AVERAGE(Q13:Q14)</f>
        <v>2.5</v>
      </c>
      <c r="R15" s="1">
        <f t="shared" si="74"/>
        <v>4</v>
      </c>
      <c r="S15" s="1"/>
      <c r="T15" s="1">
        <f t="shared" ref="T15:U15" si="75">AVERAGE(T13:T14)</f>
        <v>4.5</v>
      </c>
      <c r="U15" s="1">
        <f t="shared" si="75"/>
        <v>4</v>
      </c>
      <c r="V15" s="1"/>
      <c r="W15" s="1">
        <f t="shared" ref="W15:X15" si="76">AVERAGE(W13:W14)</f>
        <v>2.5</v>
      </c>
      <c r="X15" s="1">
        <f t="shared" si="76"/>
        <v>2.5</v>
      </c>
      <c r="Y15" s="1"/>
      <c r="Z15" s="1">
        <f t="shared" ref="Z15:AA15" si="77">AVERAGE(Z13:Z14)</f>
        <v>3</v>
      </c>
      <c r="AA15" s="1">
        <f t="shared" si="77"/>
        <v>2</v>
      </c>
      <c r="AB15" s="1"/>
      <c r="AC15" s="1">
        <f t="shared" ref="AC15:AD15" si="78">AVERAGE(AC13:AC14)</f>
        <v>3</v>
      </c>
      <c r="AD15" s="1">
        <f t="shared" si="78"/>
        <v>4</v>
      </c>
      <c r="AE15" s="1"/>
      <c r="AF15" s="1">
        <f t="shared" ref="AF15:AG15" si="79">AVERAGE(AF13:AF14)</f>
        <v>4</v>
      </c>
      <c r="AG15" s="1">
        <f t="shared" si="79"/>
        <v>2.5</v>
      </c>
      <c r="AH15" s="1"/>
      <c r="AI15" s="1">
        <f t="shared" ref="AI15:AJ15" si="80">AVERAGE(AI13:AI14)</f>
        <v>4.5</v>
      </c>
      <c r="AJ15" s="1">
        <f t="shared" si="80"/>
        <v>2.5</v>
      </c>
      <c r="AK15" s="1"/>
      <c r="AL15" s="1">
        <f t="shared" ref="AL15:AM15" si="81">AVERAGE(AL13:AL14)</f>
        <v>4</v>
      </c>
      <c r="AM15" s="1">
        <f t="shared" si="81"/>
        <v>2.5</v>
      </c>
      <c r="AN15" s="1"/>
      <c r="AO15" s="1">
        <f t="shared" ref="AO15:AP15" si="82">AVERAGE(AO13:AO14)</f>
        <v>3</v>
      </c>
      <c r="AP15" s="1">
        <f t="shared" si="82"/>
        <v>3</v>
      </c>
      <c r="AQ15" s="1"/>
      <c r="AR15" s="1">
        <f t="shared" ref="AR15:AS15" si="83">AVERAGE(AR13:AR14)</f>
        <v>2</v>
      </c>
      <c r="AS15" s="1">
        <f t="shared" si="83"/>
        <v>4.5</v>
      </c>
      <c r="AT15" s="1"/>
      <c r="AU15" s="1">
        <f t="shared" ref="AU15:AV15" si="84">AVERAGE(AU13:AU14)</f>
        <v>2.5</v>
      </c>
      <c r="AV15" s="1">
        <f t="shared" si="84"/>
        <v>4</v>
      </c>
      <c r="AW15" s="1"/>
      <c r="AX15" s="1">
        <f t="shared" ref="AX15:AY15" si="85">AVERAGE(AX13:AX14)</f>
        <v>1.5</v>
      </c>
      <c r="AY15" s="1">
        <f t="shared" si="85"/>
        <v>1.5</v>
      </c>
      <c r="AZ15" s="1"/>
      <c r="BA15" s="1">
        <f t="shared" ref="BA15:BB15" si="86">AVERAGE(BA13:BA14)</f>
        <v>3</v>
      </c>
      <c r="BB15" s="1">
        <f t="shared" si="86"/>
        <v>3</v>
      </c>
      <c r="BC15" s="1"/>
      <c r="BD15" s="1">
        <f t="shared" ref="BD15:BE15" si="87">AVERAGE(BD13:BD14)</f>
        <v>4</v>
      </c>
      <c r="BE15" s="1">
        <f t="shared" si="87"/>
        <v>3</v>
      </c>
      <c r="BF15" s="1"/>
      <c r="BG15" s="1">
        <f t="shared" ref="BG15:BH15" si="88">AVERAGE(BG13:BG14)</f>
        <v>3.5</v>
      </c>
      <c r="BH15" s="1">
        <f t="shared" si="88"/>
        <v>4.5</v>
      </c>
      <c r="BI15" s="1"/>
      <c r="BJ15" s="1">
        <f t="shared" ref="BJ15:BK15" si="89">AVERAGE(BJ13:BJ14)</f>
        <v>4.5</v>
      </c>
      <c r="BK15" s="1">
        <f t="shared" si="89"/>
        <v>3</v>
      </c>
      <c r="BL15" s="1"/>
      <c r="BM15" s="1">
        <f t="shared" ref="BM15:BN15" si="90">AVERAGE(BM13:BM14)</f>
        <v>4</v>
      </c>
      <c r="BN15" s="1">
        <f t="shared" si="90"/>
        <v>4</v>
      </c>
      <c r="BO15" s="1"/>
      <c r="BP15" s="1">
        <f t="shared" ref="BP15:BQ15" si="91">AVERAGE(BP13:BP14)</f>
        <v>3</v>
      </c>
      <c r="BQ15" s="1">
        <f t="shared" si="91"/>
        <v>3.5</v>
      </c>
      <c r="BR15" s="1"/>
      <c r="BS15" s="1">
        <f t="shared" ref="BS15:BT15" si="92">AVERAGE(BS13:BS14)</f>
        <v>4</v>
      </c>
      <c r="BT15" s="1">
        <f t="shared" si="92"/>
        <v>4.5</v>
      </c>
      <c r="BU15" s="1"/>
      <c r="BV15" s="1">
        <f t="shared" ref="BV15:BW15" si="93">AVERAGE(BV13:BV14)</f>
        <v>3.5</v>
      </c>
      <c r="BW15" s="1">
        <f t="shared" si="93"/>
        <v>3.5</v>
      </c>
      <c r="BX15" s="1"/>
      <c r="BY15" s="1">
        <f t="shared" ref="BY15:BZ15" si="94">AVERAGE(BY13:BY14)</f>
        <v>3.5</v>
      </c>
      <c r="BZ15" s="1">
        <f t="shared" si="94"/>
        <v>3</v>
      </c>
      <c r="CA15" s="1"/>
      <c r="CB15" s="1">
        <f t="shared" ref="CB15:CC15" si="95">AVERAGE(CB13:CB14)</f>
        <v>3</v>
      </c>
      <c r="CC15" s="1">
        <f t="shared" si="95"/>
        <v>3.5</v>
      </c>
      <c r="CD15" s="1"/>
      <c r="CE15" s="1">
        <f t="shared" ref="CE15:CF15" si="96">AVERAGE(CE13:CE14)</f>
        <v>1</v>
      </c>
      <c r="CF15" s="1">
        <f t="shared" si="96"/>
        <v>2.5</v>
      </c>
      <c r="CG15" s="1"/>
      <c r="CH15" s="1">
        <f t="shared" ref="CH15:CI15" si="97">AVERAGE(CH13:CH14)</f>
        <v>2.5</v>
      </c>
      <c r="CI15" s="1">
        <f t="shared" si="97"/>
        <v>4</v>
      </c>
      <c r="CJ15" s="1"/>
      <c r="CK15" s="1">
        <f t="shared" ref="CK15:CL15" si="98">AVERAGE(CK13:CK14)</f>
        <v>3</v>
      </c>
      <c r="CL15" s="1">
        <f t="shared" si="98"/>
        <v>3</v>
      </c>
      <c r="CM15" s="1"/>
      <c r="CN15" s="1">
        <f t="shared" ref="CN15:CO15" si="99">AVERAGE(CN13:CN14)</f>
        <v>3.5</v>
      </c>
      <c r="CO15" s="1">
        <f t="shared" si="99"/>
        <v>4.5</v>
      </c>
      <c r="CP15" s="1"/>
      <c r="CQ15" s="1">
        <f t="shared" ref="CQ15:CR15" si="100">AVERAGE(CQ13:CQ14)</f>
        <v>3</v>
      </c>
      <c r="CR15" s="1">
        <f t="shared" si="100"/>
        <v>1</v>
      </c>
      <c r="CS15" s="1"/>
      <c r="CT15" s="1">
        <f t="shared" ref="CT15:CU15" si="101">AVERAGE(CT13:CT14)</f>
        <v>3</v>
      </c>
      <c r="CU15" s="1">
        <f t="shared" si="101"/>
        <v>2.5</v>
      </c>
      <c r="CV15" s="1"/>
      <c r="CW15" s="1">
        <f t="shared" ref="CW15:CX15" si="102">AVERAGE(CW13:CW14)</f>
        <v>1.5</v>
      </c>
      <c r="CX15" s="1">
        <f t="shared" si="102"/>
        <v>3</v>
      </c>
      <c r="CY15" s="1"/>
      <c r="CZ15" s="1">
        <f t="shared" ref="CZ15:DA15" si="103">AVERAGE(CZ13:CZ14)</f>
        <v>3.5</v>
      </c>
      <c r="DA15" s="1">
        <f t="shared" si="103"/>
        <v>1</v>
      </c>
      <c r="DB15" s="1"/>
      <c r="DC15" s="1">
        <f t="shared" ref="DC15:DD15" si="104">AVERAGE(DC13:DC14)</f>
        <v>3</v>
      </c>
      <c r="DD15" s="1">
        <f t="shared" si="104"/>
        <v>4.5</v>
      </c>
    </row>
    <row r="16" spans="1:108" x14ac:dyDescent="0.25"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</row>
    <row r="17" spans="1:108" x14ac:dyDescent="0.25">
      <c r="A17" t="s">
        <v>86</v>
      </c>
      <c r="B17" t="s">
        <v>87</v>
      </c>
      <c r="C17">
        <v>168432</v>
      </c>
      <c r="E17" s="1">
        <v>3</v>
      </c>
      <c r="F17" s="1">
        <v>2</v>
      </c>
      <c r="G17" s="1"/>
      <c r="H17" s="1">
        <v>3</v>
      </c>
      <c r="I17" s="1">
        <v>3</v>
      </c>
      <c r="J17" s="1"/>
      <c r="K17" s="1">
        <v>2</v>
      </c>
      <c r="L17" s="1">
        <v>3</v>
      </c>
      <c r="M17" s="1"/>
      <c r="N17" s="1">
        <v>4</v>
      </c>
      <c r="O17" s="1">
        <v>2</v>
      </c>
      <c r="P17" s="1"/>
      <c r="Q17" s="1">
        <v>3</v>
      </c>
      <c r="R17" s="1">
        <v>3</v>
      </c>
      <c r="S17" s="1"/>
      <c r="T17" s="1">
        <v>3</v>
      </c>
      <c r="U17" s="1">
        <v>3</v>
      </c>
      <c r="V17" s="1"/>
      <c r="W17" s="1">
        <v>2</v>
      </c>
      <c r="X17" s="1">
        <v>4</v>
      </c>
      <c r="Y17" s="1"/>
      <c r="Z17" s="1">
        <v>3</v>
      </c>
      <c r="AA17" s="1">
        <v>1</v>
      </c>
      <c r="AB17" s="1"/>
      <c r="AC17" s="1">
        <v>1</v>
      </c>
      <c r="AD17" s="1">
        <v>1</v>
      </c>
      <c r="AE17" s="1"/>
      <c r="AF17" s="1">
        <v>2</v>
      </c>
      <c r="AG17" s="1">
        <v>1</v>
      </c>
      <c r="AH17" s="1"/>
      <c r="AI17" s="1">
        <v>3</v>
      </c>
      <c r="AJ17" s="1">
        <v>1</v>
      </c>
      <c r="AK17" s="1"/>
      <c r="AL17" s="1">
        <v>4</v>
      </c>
      <c r="AM17" s="1">
        <v>1</v>
      </c>
      <c r="AN17" s="1"/>
      <c r="AO17" s="1">
        <v>3</v>
      </c>
      <c r="AP17" s="1">
        <v>1</v>
      </c>
      <c r="AQ17" s="1"/>
      <c r="AR17" s="1">
        <v>3</v>
      </c>
      <c r="AS17" s="1">
        <v>3</v>
      </c>
      <c r="AT17" s="1"/>
      <c r="AU17" s="1">
        <v>3</v>
      </c>
      <c r="AV17" s="1">
        <v>3</v>
      </c>
      <c r="AW17" s="1"/>
      <c r="AX17" s="1">
        <v>1</v>
      </c>
      <c r="AY17" s="1">
        <v>1</v>
      </c>
      <c r="AZ17" s="1"/>
      <c r="BA17" s="1">
        <v>3</v>
      </c>
      <c r="BB17" s="1">
        <v>5</v>
      </c>
      <c r="BC17" s="1"/>
      <c r="BD17" s="1">
        <v>2</v>
      </c>
      <c r="BE17" s="1">
        <v>1</v>
      </c>
      <c r="BF17" s="1"/>
      <c r="BG17" s="1">
        <v>3</v>
      </c>
      <c r="BH17" s="1">
        <v>3</v>
      </c>
      <c r="BI17" s="1"/>
      <c r="BJ17" s="1">
        <v>3</v>
      </c>
      <c r="BK17" s="1">
        <v>3</v>
      </c>
      <c r="BL17" s="1"/>
      <c r="BM17" s="1">
        <v>3</v>
      </c>
      <c r="BN17" s="1">
        <v>2</v>
      </c>
      <c r="BO17" s="1"/>
      <c r="BP17" s="1">
        <v>2</v>
      </c>
      <c r="BQ17" s="1">
        <v>2</v>
      </c>
      <c r="BR17" s="1"/>
      <c r="BS17" s="1">
        <v>3</v>
      </c>
      <c r="BT17" s="1">
        <v>2</v>
      </c>
      <c r="BU17" s="1"/>
      <c r="BV17" s="1">
        <v>3</v>
      </c>
      <c r="BW17" s="1">
        <v>1</v>
      </c>
      <c r="BX17" s="1"/>
      <c r="BY17" s="1">
        <v>1</v>
      </c>
      <c r="BZ17" s="1">
        <v>1</v>
      </c>
      <c r="CA17" s="1"/>
      <c r="CB17" s="1">
        <v>4</v>
      </c>
      <c r="CC17" s="1">
        <v>3</v>
      </c>
      <c r="CD17" s="1"/>
      <c r="CE17" s="1">
        <v>2</v>
      </c>
      <c r="CF17" s="1">
        <v>1</v>
      </c>
      <c r="CG17" s="1"/>
      <c r="CH17" s="1">
        <v>1</v>
      </c>
      <c r="CI17" s="1">
        <v>1</v>
      </c>
      <c r="CJ17" s="1"/>
      <c r="CK17" s="1">
        <v>1</v>
      </c>
      <c r="CL17" s="1">
        <v>1</v>
      </c>
      <c r="CM17" s="1"/>
      <c r="CN17" s="1">
        <v>4</v>
      </c>
      <c r="CO17" s="1">
        <v>4</v>
      </c>
      <c r="CP17" s="1"/>
      <c r="CQ17" s="1">
        <v>3</v>
      </c>
      <c r="CR17" s="1">
        <v>1</v>
      </c>
      <c r="CS17" s="1"/>
      <c r="CT17" s="1">
        <v>3</v>
      </c>
      <c r="CU17" s="1">
        <v>1</v>
      </c>
      <c r="CV17" s="1"/>
      <c r="CW17" s="1">
        <v>2</v>
      </c>
      <c r="CX17" s="1">
        <v>2</v>
      </c>
      <c r="CY17" s="1"/>
      <c r="CZ17" s="1">
        <v>2</v>
      </c>
      <c r="DA17" s="1">
        <v>1</v>
      </c>
      <c r="DB17" s="1"/>
      <c r="DC17" s="1">
        <v>3</v>
      </c>
      <c r="DD17" s="1">
        <v>3</v>
      </c>
    </row>
    <row r="18" spans="1:108" x14ac:dyDescent="0.25">
      <c r="A18" t="s">
        <v>79</v>
      </c>
      <c r="E18" s="1">
        <f t="shared" ref="E18:F18" si="105">AVERAGE(E17)</f>
        <v>3</v>
      </c>
      <c r="F18" s="1">
        <f t="shared" si="105"/>
        <v>2</v>
      </c>
      <c r="G18" s="1"/>
      <c r="H18" s="1">
        <f t="shared" ref="H18:I18" si="106">AVERAGE(H17)</f>
        <v>3</v>
      </c>
      <c r="I18" s="1">
        <f t="shared" si="106"/>
        <v>3</v>
      </c>
      <c r="J18" s="1"/>
      <c r="K18" s="1">
        <f t="shared" ref="K18:L18" si="107">AVERAGE(K17)</f>
        <v>2</v>
      </c>
      <c r="L18" s="1">
        <f t="shared" si="107"/>
        <v>3</v>
      </c>
      <c r="M18" s="1"/>
      <c r="N18" s="1">
        <f t="shared" ref="N18:O18" si="108">AVERAGE(N17)</f>
        <v>4</v>
      </c>
      <c r="O18" s="1">
        <f t="shared" si="108"/>
        <v>2</v>
      </c>
      <c r="P18" s="1"/>
      <c r="Q18" s="1">
        <f t="shared" ref="Q18:R18" si="109">AVERAGE(Q17)</f>
        <v>3</v>
      </c>
      <c r="R18" s="1">
        <f t="shared" si="109"/>
        <v>3</v>
      </c>
      <c r="S18" s="1"/>
      <c r="T18" s="1">
        <f t="shared" ref="T18:U18" si="110">AVERAGE(T17)</f>
        <v>3</v>
      </c>
      <c r="U18" s="1">
        <f t="shared" si="110"/>
        <v>3</v>
      </c>
      <c r="V18" s="1"/>
      <c r="W18" s="1">
        <f t="shared" ref="W18:X18" si="111">AVERAGE(W17)</f>
        <v>2</v>
      </c>
      <c r="X18" s="1">
        <f t="shared" si="111"/>
        <v>4</v>
      </c>
      <c r="Y18" s="1"/>
      <c r="Z18" s="1">
        <f t="shared" ref="Z18:AA18" si="112">AVERAGE(Z17)</f>
        <v>3</v>
      </c>
      <c r="AA18" s="1">
        <f t="shared" si="112"/>
        <v>1</v>
      </c>
      <c r="AB18" s="1"/>
      <c r="AC18" s="1">
        <f t="shared" ref="AC18:AD18" si="113">AVERAGE(AC17)</f>
        <v>1</v>
      </c>
      <c r="AD18" s="1">
        <f t="shared" si="113"/>
        <v>1</v>
      </c>
      <c r="AE18" s="1"/>
      <c r="AF18" s="1">
        <f t="shared" ref="AF18:AG18" si="114">AVERAGE(AF17)</f>
        <v>2</v>
      </c>
      <c r="AG18" s="1">
        <f t="shared" si="114"/>
        <v>1</v>
      </c>
      <c r="AH18" s="1"/>
      <c r="AI18" s="1">
        <f t="shared" ref="AI18:AJ18" si="115">AVERAGE(AI17)</f>
        <v>3</v>
      </c>
      <c r="AJ18" s="1">
        <f t="shared" si="115"/>
        <v>1</v>
      </c>
      <c r="AK18" s="1"/>
      <c r="AL18" s="1">
        <f t="shared" ref="AL18:AM18" si="116">AVERAGE(AL17)</f>
        <v>4</v>
      </c>
      <c r="AM18" s="1">
        <f t="shared" si="116"/>
        <v>1</v>
      </c>
      <c r="AN18" s="1"/>
      <c r="AO18" s="1">
        <f t="shared" ref="AO18:AP18" si="117">AVERAGE(AO17)</f>
        <v>3</v>
      </c>
      <c r="AP18" s="1">
        <f t="shared" si="117"/>
        <v>1</v>
      </c>
      <c r="AQ18" s="1"/>
      <c r="AR18" s="1">
        <f t="shared" ref="AR18:AS18" si="118">AVERAGE(AR17)</f>
        <v>3</v>
      </c>
      <c r="AS18" s="1">
        <f t="shared" si="118"/>
        <v>3</v>
      </c>
      <c r="AT18" s="1"/>
      <c r="AU18" s="1">
        <f t="shared" ref="AU18:AV18" si="119">AVERAGE(AU17)</f>
        <v>3</v>
      </c>
      <c r="AV18" s="1">
        <f t="shared" si="119"/>
        <v>3</v>
      </c>
      <c r="AW18" s="1"/>
      <c r="AX18" s="1">
        <f t="shared" ref="AX18:AY18" si="120">AVERAGE(AX17)</f>
        <v>1</v>
      </c>
      <c r="AY18" s="1">
        <f t="shared" si="120"/>
        <v>1</v>
      </c>
      <c r="AZ18" s="1"/>
      <c r="BA18" s="1">
        <f t="shared" ref="BA18:BB18" si="121">AVERAGE(BA17)</f>
        <v>3</v>
      </c>
      <c r="BB18" s="1">
        <f t="shared" si="121"/>
        <v>5</v>
      </c>
      <c r="BC18" s="1"/>
      <c r="BD18" s="1">
        <f t="shared" ref="BD18:BE18" si="122">AVERAGE(BD17)</f>
        <v>2</v>
      </c>
      <c r="BE18" s="1">
        <f t="shared" si="122"/>
        <v>1</v>
      </c>
      <c r="BF18" s="1"/>
      <c r="BG18" s="1">
        <f t="shared" ref="BG18:BH18" si="123">AVERAGE(BG17)</f>
        <v>3</v>
      </c>
      <c r="BH18" s="1">
        <f t="shared" si="123"/>
        <v>3</v>
      </c>
      <c r="BI18" s="1"/>
      <c r="BJ18" s="1">
        <f t="shared" ref="BJ18:BK18" si="124">AVERAGE(BJ17)</f>
        <v>3</v>
      </c>
      <c r="BK18" s="1">
        <f t="shared" si="124"/>
        <v>3</v>
      </c>
      <c r="BL18" s="1"/>
      <c r="BM18" s="1">
        <f t="shared" ref="BM18:BN18" si="125">AVERAGE(BM17)</f>
        <v>3</v>
      </c>
      <c r="BN18" s="1">
        <f t="shared" si="125"/>
        <v>2</v>
      </c>
      <c r="BO18" s="1"/>
      <c r="BP18" s="1">
        <f t="shared" ref="BP18:BQ18" si="126">AVERAGE(BP17)</f>
        <v>2</v>
      </c>
      <c r="BQ18" s="1">
        <f t="shared" si="126"/>
        <v>2</v>
      </c>
      <c r="BR18" s="1"/>
      <c r="BS18" s="1">
        <f t="shared" ref="BS18:BT18" si="127">AVERAGE(BS17)</f>
        <v>3</v>
      </c>
      <c r="BT18" s="1">
        <f t="shared" si="127"/>
        <v>2</v>
      </c>
      <c r="BU18" s="1"/>
      <c r="BV18" s="1">
        <f t="shared" ref="BV18:BW18" si="128">AVERAGE(BV17)</f>
        <v>3</v>
      </c>
      <c r="BW18" s="1">
        <f t="shared" si="128"/>
        <v>1</v>
      </c>
      <c r="BX18" s="1"/>
      <c r="BY18" s="1">
        <f t="shared" ref="BY18:BZ18" si="129">AVERAGE(BY17)</f>
        <v>1</v>
      </c>
      <c r="BZ18" s="1">
        <f t="shared" si="129"/>
        <v>1</v>
      </c>
      <c r="CA18" s="1"/>
      <c r="CB18" s="1">
        <f t="shared" ref="CB18:CC18" si="130">AVERAGE(CB17)</f>
        <v>4</v>
      </c>
      <c r="CC18" s="1">
        <f t="shared" si="130"/>
        <v>3</v>
      </c>
      <c r="CD18" s="1"/>
      <c r="CE18" s="1">
        <f t="shared" ref="CE18:CF18" si="131">AVERAGE(CE17)</f>
        <v>2</v>
      </c>
      <c r="CF18" s="1">
        <f t="shared" si="131"/>
        <v>1</v>
      </c>
      <c r="CG18" s="1"/>
      <c r="CH18" s="1">
        <f t="shared" ref="CH18:CI18" si="132">AVERAGE(CH17)</f>
        <v>1</v>
      </c>
      <c r="CI18" s="1">
        <f t="shared" si="132"/>
        <v>1</v>
      </c>
      <c r="CJ18" s="1"/>
      <c r="CK18" s="1">
        <f t="shared" ref="CK18:CL18" si="133">AVERAGE(CK17)</f>
        <v>1</v>
      </c>
      <c r="CL18" s="1">
        <f t="shared" si="133"/>
        <v>1</v>
      </c>
      <c r="CM18" s="1"/>
      <c r="CN18" s="1">
        <f t="shared" ref="CN18:CO18" si="134">AVERAGE(CN17)</f>
        <v>4</v>
      </c>
      <c r="CO18" s="1">
        <f t="shared" si="134"/>
        <v>4</v>
      </c>
      <c r="CP18" s="1"/>
      <c r="CQ18" s="1">
        <f t="shared" ref="CQ18:CR18" si="135">AVERAGE(CQ17)</f>
        <v>3</v>
      </c>
      <c r="CR18" s="1">
        <f t="shared" si="135"/>
        <v>1</v>
      </c>
      <c r="CS18" s="1"/>
      <c r="CT18" s="1">
        <f t="shared" ref="CT18:CU18" si="136">AVERAGE(CT17)</f>
        <v>3</v>
      </c>
      <c r="CU18" s="1">
        <f t="shared" si="136"/>
        <v>1</v>
      </c>
      <c r="CV18" s="1"/>
      <c r="CW18" s="1">
        <f t="shared" ref="CW18:CX18" si="137">AVERAGE(CW17)</f>
        <v>2</v>
      </c>
      <c r="CX18" s="1">
        <f t="shared" si="137"/>
        <v>2</v>
      </c>
      <c r="CY18" s="1"/>
      <c r="CZ18" s="1">
        <f t="shared" ref="CZ18:DA18" si="138">AVERAGE(CZ17)</f>
        <v>2</v>
      </c>
      <c r="DA18" s="1">
        <f t="shared" si="138"/>
        <v>1</v>
      </c>
      <c r="DB18" s="1"/>
      <c r="DC18" s="1">
        <f t="shared" ref="DC18:DD18" si="139">AVERAGE(DC17)</f>
        <v>3</v>
      </c>
      <c r="DD18" s="1">
        <f t="shared" si="139"/>
        <v>3</v>
      </c>
    </row>
    <row r="19" spans="1:108" x14ac:dyDescent="0.25"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</row>
    <row r="20" spans="1:108" x14ac:dyDescent="0.25">
      <c r="A20" t="s">
        <v>88</v>
      </c>
      <c r="B20" t="s">
        <v>89</v>
      </c>
      <c r="C20">
        <v>8813</v>
      </c>
      <c r="E20" s="1">
        <v>1</v>
      </c>
      <c r="F20" s="1">
        <v>1</v>
      </c>
      <c r="G20" s="1"/>
      <c r="H20" s="1">
        <v>4</v>
      </c>
      <c r="I20" s="1">
        <v>3</v>
      </c>
      <c r="J20" s="1"/>
      <c r="K20" s="1">
        <v>2</v>
      </c>
      <c r="L20" s="1">
        <v>4</v>
      </c>
      <c r="M20" s="1"/>
      <c r="N20" s="1">
        <v>3</v>
      </c>
      <c r="O20" s="1">
        <v>4</v>
      </c>
      <c r="P20" s="1"/>
      <c r="Q20" s="1">
        <v>1</v>
      </c>
      <c r="R20" s="1">
        <v>5</v>
      </c>
      <c r="S20" s="1"/>
      <c r="T20" s="1">
        <v>4</v>
      </c>
      <c r="U20" s="1">
        <v>4</v>
      </c>
      <c r="V20" s="1"/>
      <c r="W20" s="1">
        <v>3</v>
      </c>
      <c r="X20" s="1">
        <v>2</v>
      </c>
      <c r="Y20" s="1"/>
      <c r="Z20" s="1">
        <v>1</v>
      </c>
      <c r="AA20" s="1">
        <v>1</v>
      </c>
      <c r="AB20" s="1"/>
      <c r="AC20" s="1">
        <v>2</v>
      </c>
      <c r="AD20" s="1">
        <v>2</v>
      </c>
      <c r="AE20" s="1"/>
      <c r="AF20" s="1">
        <v>4</v>
      </c>
      <c r="AG20" s="1">
        <v>3</v>
      </c>
      <c r="AH20" s="1"/>
      <c r="AI20" s="1">
        <v>4</v>
      </c>
      <c r="AJ20" s="1">
        <v>2</v>
      </c>
      <c r="AK20" s="1"/>
      <c r="AL20" s="1">
        <v>3</v>
      </c>
      <c r="AM20" s="1">
        <v>4</v>
      </c>
      <c r="AN20" s="1"/>
      <c r="AO20" s="1">
        <v>3</v>
      </c>
      <c r="AP20" s="1">
        <v>3</v>
      </c>
      <c r="AQ20" s="1"/>
      <c r="AR20" s="1">
        <v>2</v>
      </c>
      <c r="AS20" s="1">
        <v>4</v>
      </c>
      <c r="AT20" s="1"/>
      <c r="AU20" s="1">
        <v>4</v>
      </c>
      <c r="AV20" s="1">
        <v>4</v>
      </c>
      <c r="AW20" s="1"/>
      <c r="AX20" s="1">
        <v>2</v>
      </c>
      <c r="AY20" s="1">
        <v>1</v>
      </c>
      <c r="AZ20" s="1"/>
      <c r="BA20" s="1">
        <v>3</v>
      </c>
      <c r="BB20" s="1">
        <v>3</v>
      </c>
      <c r="BC20" s="1"/>
      <c r="BD20" s="1">
        <v>3</v>
      </c>
      <c r="BE20" s="1">
        <v>2</v>
      </c>
      <c r="BF20" s="1"/>
      <c r="BG20" s="1">
        <v>4</v>
      </c>
      <c r="BH20" s="1">
        <v>3</v>
      </c>
      <c r="BI20" s="1"/>
      <c r="BJ20" s="1">
        <v>2</v>
      </c>
      <c r="BK20" s="1">
        <v>3</v>
      </c>
      <c r="BL20" s="1"/>
      <c r="BM20" s="1">
        <v>3</v>
      </c>
      <c r="BN20" s="1">
        <v>3</v>
      </c>
      <c r="BO20" s="1"/>
      <c r="BP20" s="1">
        <v>2</v>
      </c>
      <c r="BQ20" s="1">
        <v>4</v>
      </c>
      <c r="BR20" s="1"/>
      <c r="BS20" s="1">
        <v>5</v>
      </c>
      <c r="BT20" s="1">
        <v>5</v>
      </c>
      <c r="BU20" s="1"/>
      <c r="BV20" s="1">
        <v>4</v>
      </c>
      <c r="BW20" s="1">
        <v>2</v>
      </c>
      <c r="BX20" s="1"/>
      <c r="BY20" s="1">
        <v>4</v>
      </c>
      <c r="BZ20" s="1">
        <v>4</v>
      </c>
      <c r="CA20" s="1"/>
      <c r="CB20" s="1">
        <v>3</v>
      </c>
      <c r="CC20" s="1">
        <v>3</v>
      </c>
      <c r="CD20" s="1"/>
      <c r="CE20" s="1">
        <v>2</v>
      </c>
      <c r="CF20" s="1">
        <v>1</v>
      </c>
      <c r="CG20" s="1"/>
      <c r="CH20" s="1">
        <v>2</v>
      </c>
      <c r="CI20" s="1">
        <v>2</v>
      </c>
      <c r="CJ20" s="1"/>
      <c r="CK20" s="1">
        <v>3</v>
      </c>
      <c r="CL20" s="1">
        <v>2</v>
      </c>
      <c r="CM20" s="1"/>
      <c r="CN20" s="1">
        <v>3</v>
      </c>
      <c r="CO20" s="1">
        <v>3</v>
      </c>
      <c r="CP20" s="1"/>
      <c r="CQ20" s="1">
        <v>2</v>
      </c>
      <c r="CR20" s="1">
        <v>1</v>
      </c>
      <c r="CS20" s="1"/>
      <c r="CT20" s="1">
        <v>3</v>
      </c>
      <c r="CU20" s="1">
        <v>2</v>
      </c>
      <c r="CV20" s="1"/>
      <c r="CW20" s="1">
        <v>3</v>
      </c>
      <c r="CX20" s="1">
        <v>3</v>
      </c>
      <c r="CY20" s="1"/>
      <c r="CZ20" s="1">
        <v>2</v>
      </c>
      <c r="DA20" s="1">
        <v>4</v>
      </c>
      <c r="DB20" s="1"/>
      <c r="DC20" s="1">
        <v>4</v>
      </c>
      <c r="DD20" s="1">
        <v>4</v>
      </c>
    </row>
    <row r="21" spans="1:108" x14ac:dyDescent="0.25">
      <c r="A21" t="s">
        <v>90</v>
      </c>
      <c r="B21" t="s">
        <v>89</v>
      </c>
      <c r="C21">
        <v>8006</v>
      </c>
      <c r="E21" s="1">
        <v>2</v>
      </c>
      <c r="F21" s="1">
        <v>1</v>
      </c>
      <c r="G21" s="1"/>
      <c r="H21" s="1">
        <v>4</v>
      </c>
      <c r="I21" s="1">
        <v>2</v>
      </c>
      <c r="J21" s="1"/>
      <c r="K21" s="1">
        <v>3</v>
      </c>
      <c r="L21" s="1">
        <v>4</v>
      </c>
      <c r="M21" s="1"/>
      <c r="N21" s="1">
        <v>4</v>
      </c>
      <c r="O21" s="1">
        <v>2</v>
      </c>
      <c r="P21" s="1"/>
      <c r="Q21" s="1">
        <v>1</v>
      </c>
      <c r="R21" s="1">
        <v>3</v>
      </c>
      <c r="S21" s="1"/>
      <c r="T21" s="1">
        <v>4</v>
      </c>
      <c r="U21" s="1">
        <v>3</v>
      </c>
      <c r="V21" s="1"/>
      <c r="W21" s="1">
        <v>2</v>
      </c>
      <c r="X21" s="1">
        <v>1</v>
      </c>
      <c r="Y21" s="1"/>
      <c r="Z21" s="1">
        <v>3</v>
      </c>
      <c r="AA21" s="1">
        <v>2</v>
      </c>
      <c r="AB21" s="1"/>
      <c r="AC21" s="1">
        <v>2</v>
      </c>
      <c r="AD21" s="1">
        <v>4</v>
      </c>
      <c r="AE21" s="1"/>
      <c r="AF21" s="1">
        <v>3</v>
      </c>
      <c r="AG21" s="1">
        <v>2</v>
      </c>
      <c r="AH21" s="1"/>
      <c r="AI21" s="1">
        <v>3</v>
      </c>
      <c r="AJ21" s="1">
        <v>1</v>
      </c>
      <c r="AK21" s="1"/>
      <c r="AL21" s="1">
        <v>2</v>
      </c>
      <c r="AM21" s="1">
        <v>3</v>
      </c>
      <c r="AN21" s="1"/>
      <c r="AO21" s="1">
        <v>4</v>
      </c>
      <c r="AP21" s="1">
        <v>3</v>
      </c>
      <c r="AQ21" s="1"/>
      <c r="AR21" s="1">
        <v>3</v>
      </c>
      <c r="AS21" s="1">
        <v>4</v>
      </c>
      <c r="AT21" s="1"/>
      <c r="AU21" s="1">
        <v>2</v>
      </c>
      <c r="AV21" s="1">
        <v>3</v>
      </c>
      <c r="AW21" s="1"/>
      <c r="AX21" s="1">
        <v>2</v>
      </c>
      <c r="AY21" s="1">
        <v>1</v>
      </c>
      <c r="AZ21" s="1"/>
      <c r="BA21" s="1">
        <v>4</v>
      </c>
      <c r="BB21" s="1">
        <v>4</v>
      </c>
      <c r="BC21" s="1"/>
      <c r="BD21" s="1">
        <v>2</v>
      </c>
      <c r="BE21" s="1">
        <v>1</v>
      </c>
      <c r="BF21" s="1"/>
      <c r="BG21" s="1">
        <v>2</v>
      </c>
      <c r="BH21" s="1">
        <v>3</v>
      </c>
      <c r="BI21" s="1"/>
      <c r="BJ21" s="1">
        <v>2</v>
      </c>
      <c r="BK21" s="1">
        <v>2</v>
      </c>
      <c r="BL21" s="1"/>
      <c r="BM21" s="1">
        <v>2</v>
      </c>
      <c r="BN21" s="1">
        <v>3</v>
      </c>
      <c r="BO21" s="1"/>
      <c r="BP21" s="1">
        <v>2</v>
      </c>
      <c r="BQ21" s="1">
        <v>3</v>
      </c>
      <c r="BR21" s="1"/>
      <c r="BS21" s="1">
        <v>2</v>
      </c>
      <c r="BT21" s="1">
        <v>2</v>
      </c>
      <c r="BU21" s="1"/>
      <c r="BV21" s="1">
        <v>3</v>
      </c>
      <c r="BW21" s="1">
        <v>3</v>
      </c>
      <c r="BX21" s="1"/>
      <c r="BY21" s="1">
        <v>2</v>
      </c>
      <c r="BZ21" s="1">
        <v>1</v>
      </c>
      <c r="CA21" s="1"/>
      <c r="CB21" s="1">
        <v>1</v>
      </c>
      <c r="CC21" s="1">
        <v>3</v>
      </c>
      <c r="CD21" s="1"/>
      <c r="CE21" s="1">
        <v>2</v>
      </c>
      <c r="CF21" s="1">
        <v>1</v>
      </c>
      <c r="CG21" s="1"/>
      <c r="CH21" s="1">
        <v>4</v>
      </c>
      <c r="CI21" s="1">
        <v>4</v>
      </c>
      <c r="CJ21" s="1"/>
      <c r="CK21" s="1">
        <v>2</v>
      </c>
      <c r="CL21" s="1">
        <v>1</v>
      </c>
      <c r="CM21" s="1"/>
      <c r="CN21" s="1">
        <v>3</v>
      </c>
      <c r="CO21" s="1">
        <v>3</v>
      </c>
      <c r="CP21" s="1"/>
      <c r="CQ21" s="1">
        <v>2</v>
      </c>
      <c r="CR21" s="1">
        <v>1</v>
      </c>
      <c r="CS21" s="1"/>
      <c r="CT21" s="1">
        <v>2</v>
      </c>
      <c r="CU21" s="1">
        <v>2</v>
      </c>
      <c r="CV21" s="1"/>
      <c r="CW21" s="1">
        <v>2</v>
      </c>
      <c r="CX21" s="1">
        <v>2</v>
      </c>
      <c r="CY21" s="1"/>
      <c r="CZ21" s="1">
        <v>1</v>
      </c>
      <c r="DA21" s="1">
        <v>3</v>
      </c>
      <c r="DB21" s="1"/>
      <c r="DC21" s="1">
        <v>3</v>
      </c>
      <c r="DD21" s="1">
        <v>2</v>
      </c>
    </row>
    <row r="22" spans="1:108" x14ac:dyDescent="0.25">
      <c r="A22" t="s">
        <v>79</v>
      </c>
      <c r="E22" s="1">
        <f t="shared" ref="E22:F22" si="140">AVERAGE(E20:E21)</f>
        <v>1.5</v>
      </c>
      <c r="F22" s="1">
        <f t="shared" si="140"/>
        <v>1</v>
      </c>
      <c r="G22" s="1"/>
      <c r="H22" s="1">
        <f t="shared" ref="H22:I22" si="141">AVERAGE(H20:H21)</f>
        <v>4</v>
      </c>
      <c r="I22" s="1">
        <f t="shared" si="141"/>
        <v>2.5</v>
      </c>
      <c r="J22" s="1"/>
      <c r="K22" s="1">
        <f t="shared" ref="K22:L22" si="142">AVERAGE(K20:K21)</f>
        <v>2.5</v>
      </c>
      <c r="L22" s="1">
        <f t="shared" si="142"/>
        <v>4</v>
      </c>
      <c r="M22" s="1"/>
      <c r="N22" s="1">
        <f t="shared" ref="N22:O22" si="143">AVERAGE(N20:N21)</f>
        <v>3.5</v>
      </c>
      <c r="O22" s="1">
        <f t="shared" si="143"/>
        <v>3</v>
      </c>
      <c r="P22" s="1"/>
      <c r="Q22" s="1">
        <f t="shared" ref="Q22:R22" si="144">AVERAGE(Q20:Q21)</f>
        <v>1</v>
      </c>
      <c r="R22" s="1">
        <f t="shared" si="144"/>
        <v>4</v>
      </c>
      <c r="S22" s="1"/>
      <c r="T22" s="1">
        <f t="shared" ref="T22:U22" si="145">AVERAGE(T20:T21)</f>
        <v>4</v>
      </c>
      <c r="U22" s="1">
        <f t="shared" si="145"/>
        <v>3.5</v>
      </c>
      <c r="V22" s="1"/>
      <c r="W22" s="1">
        <f t="shared" ref="W22:X22" si="146">AVERAGE(W20:W21)</f>
        <v>2.5</v>
      </c>
      <c r="X22" s="1">
        <f t="shared" si="146"/>
        <v>1.5</v>
      </c>
      <c r="Y22" s="1"/>
      <c r="Z22" s="1">
        <f t="shared" ref="Z22:AA22" si="147">AVERAGE(Z20:Z21)</f>
        <v>2</v>
      </c>
      <c r="AA22" s="1">
        <f t="shared" si="147"/>
        <v>1.5</v>
      </c>
      <c r="AB22" s="1"/>
      <c r="AC22" s="1">
        <f t="shared" ref="AC22:AD22" si="148">AVERAGE(AC20:AC21)</f>
        <v>2</v>
      </c>
      <c r="AD22" s="1">
        <f t="shared" si="148"/>
        <v>3</v>
      </c>
      <c r="AE22" s="1"/>
      <c r="AF22" s="1">
        <f t="shared" ref="AF22:AG22" si="149">AVERAGE(AF20:AF21)</f>
        <v>3.5</v>
      </c>
      <c r="AG22" s="1">
        <f t="shared" si="149"/>
        <v>2.5</v>
      </c>
      <c r="AH22" s="1"/>
      <c r="AI22" s="1">
        <f t="shared" ref="AI22:AJ22" si="150">AVERAGE(AI20:AI21)</f>
        <v>3.5</v>
      </c>
      <c r="AJ22" s="1">
        <f t="shared" si="150"/>
        <v>1.5</v>
      </c>
      <c r="AK22" s="1"/>
      <c r="AL22" s="1">
        <f t="shared" ref="AL22:AM22" si="151">AVERAGE(AL20:AL21)</f>
        <v>2.5</v>
      </c>
      <c r="AM22" s="1">
        <f t="shared" si="151"/>
        <v>3.5</v>
      </c>
      <c r="AN22" s="1"/>
      <c r="AO22" s="1">
        <f t="shared" ref="AO22:AP22" si="152">AVERAGE(AO20:AO21)</f>
        <v>3.5</v>
      </c>
      <c r="AP22" s="1">
        <f t="shared" si="152"/>
        <v>3</v>
      </c>
      <c r="AQ22" s="1"/>
      <c r="AR22" s="1">
        <f t="shared" ref="AR22:AS22" si="153">AVERAGE(AR20:AR21)</f>
        <v>2.5</v>
      </c>
      <c r="AS22" s="1">
        <f t="shared" si="153"/>
        <v>4</v>
      </c>
      <c r="AT22" s="1"/>
      <c r="AU22" s="1">
        <f t="shared" ref="AU22:AV22" si="154">AVERAGE(AU20:AU21)</f>
        <v>3</v>
      </c>
      <c r="AV22" s="1">
        <f t="shared" si="154"/>
        <v>3.5</v>
      </c>
      <c r="AW22" s="1"/>
      <c r="AX22" s="1">
        <f t="shared" ref="AX22:AY22" si="155">AVERAGE(AX20:AX21)</f>
        <v>2</v>
      </c>
      <c r="AY22" s="1">
        <f t="shared" si="155"/>
        <v>1</v>
      </c>
      <c r="AZ22" s="1"/>
      <c r="BA22" s="1">
        <f t="shared" ref="BA22:BB22" si="156">AVERAGE(BA20:BA21)</f>
        <v>3.5</v>
      </c>
      <c r="BB22" s="1">
        <f t="shared" si="156"/>
        <v>3.5</v>
      </c>
      <c r="BC22" s="1"/>
      <c r="BD22" s="1">
        <f t="shared" ref="BD22:BE22" si="157">AVERAGE(BD20:BD21)</f>
        <v>2.5</v>
      </c>
      <c r="BE22" s="1">
        <f t="shared" si="157"/>
        <v>1.5</v>
      </c>
      <c r="BF22" s="1"/>
      <c r="BG22" s="1">
        <f t="shared" ref="BG22:BH22" si="158">AVERAGE(BG20:BG21)</f>
        <v>3</v>
      </c>
      <c r="BH22" s="1">
        <f t="shared" si="158"/>
        <v>3</v>
      </c>
      <c r="BI22" s="1"/>
      <c r="BJ22" s="1">
        <f t="shared" ref="BJ22:BK22" si="159">AVERAGE(BJ20:BJ21)</f>
        <v>2</v>
      </c>
      <c r="BK22" s="1">
        <f t="shared" si="159"/>
        <v>2.5</v>
      </c>
      <c r="BL22" s="1"/>
      <c r="BM22" s="1">
        <f t="shared" ref="BM22:BN22" si="160">AVERAGE(BM20:BM21)</f>
        <v>2.5</v>
      </c>
      <c r="BN22" s="1">
        <f t="shared" si="160"/>
        <v>3</v>
      </c>
      <c r="BO22" s="1"/>
      <c r="BP22" s="1">
        <f t="shared" ref="BP22:BQ22" si="161">AVERAGE(BP20:BP21)</f>
        <v>2</v>
      </c>
      <c r="BQ22" s="1">
        <f t="shared" si="161"/>
        <v>3.5</v>
      </c>
      <c r="BR22" s="1"/>
      <c r="BS22" s="1">
        <f t="shared" ref="BS22:BT22" si="162">AVERAGE(BS20:BS21)</f>
        <v>3.5</v>
      </c>
      <c r="BT22" s="1">
        <f t="shared" si="162"/>
        <v>3.5</v>
      </c>
      <c r="BU22" s="1"/>
      <c r="BV22" s="1">
        <f t="shared" ref="BV22:BW22" si="163">AVERAGE(BV20:BV21)</f>
        <v>3.5</v>
      </c>
      <c r="BW22" s="1">
        <f t="shared" si="163"/>
        <v>2.5</v>
      </c>
      <c r="BX22" s="1"/>
      <c r="BY22" s="1">
        <f t="shared" ref="BY22:BZ22" si="164">AVERAGE(BY20:BY21)</f>
        <v>3</v>
      </c>
      <c r="BZ22" s="1">
        <f t="shared" si="164"/>
        <v>2.5</v>
      </c>
      <c r="CA22" s="1"/>
      <c r="CB22" s="1">
        <f t="shared" ref="CB22:CC22" si="165">AVERAGE(CB20:CB21)</f>
        <v>2</v>
      </c>
      <c r="CC22" s="1">
        <f t="shared" si="165"/>
        <v>3</v>
      </c>
      <c r="CD22" s="1"/>
      <c r="CE22" s="1">
        <f t="shared" ref="CE22:CF22" si="166">AVERAGE(CE20:CE21)</f>
        <v>2</v>
      </c>
      <c r="CF22" s="1">
        <f t="shared" si="166"/>
        <v>1</v>
      </c>
      <c r="CG22" s="1"/>
      <c r="CH22" s="1">
        <f t="shared" ref="CH22:CI22" si="167">AVERAGE(CH20:CH21)</f>
        <v>3</v>
      </c>
      <c r="CI22" s="1">
        <f t="shared" si="167"/>
        <v>3</v>
      </c>
      <c r="CJ22" s="1"/>
      <c r="CK22" s="1">
        <f t="shared" ref="CK22:CL22" si="168">AVERAGE(CK20:CK21)</f>
        <v>2.5</v>
      </c>
      <c r="CL22" s="1">
        <f t="shared" si="168"/>
        <v>1.5</v>
      </c>
      <c r="CM22" s="1"/>
      <c r="CN22" s="1">
        <f t="shared" ref="CN22:CO22" si="169">AVERAGE(CN20:CN21)</f>
        <v>3</v>
      </c>
      <c r="CO22" s="1">
        <f t="shared" si="169"/>
        <v>3</v>
      </c>
      <c r="CP22" s="1"/>
      <c r="CQ22" s="1">
        <f t="shared" ref="CQ22:CR22" si="170">AVERAGE(CQ20:CQ21)</f>
        <v>2</v>
      </c>
      <c r="CR22" s="1">
        <f t="shared" si="170"/>
        <v>1</v>
      </c>
      <c r="CS22" s="1"/>
      <c r="CT22" s="1">
        <f t="shared" ref="CT22:CU22" si="171">AVERAGE(CT20:CT21)</f>
        <v>2.5</v>
      </c>
      <c r="CU22" s="1">
        <f t="shared" si="171"/>
        <v>2</v>
      </c>
      <c r="CV22" s="1"/>
      <c r="CW22" s="1">
        <f t="shared" ref="CW22:CX22" si="172">AVERAGE(CW20:CW21)</f>
        <v>2.5</v>
      </c>
      <c r="CX22" s="1">
        <f t="shared" si="172"/>
        <v>2.5</v>
      </c>
      <c r="CY22" s="1"/>
      <c r="CZ22" s="1">
        <f t="shared" ref="CZ22:DA22" si="173">AVERAGE(CZ20:CZ21)</f>
        <v>1.5</v>
      </c>
      <c r="DA22" s="1">
        <f t="shared" si="173"/>
        <v>3.5</v>
      </c>
      <c r="DB22" s="1"/>
      <c r="DC22" s="1">
        <f t="shared" ref="DC22:DD22" si="174">AVERAGE(DC20:DC21)</f>
        <v>3.5</v>
      </c>
      <c r="DD22" s="1">
        <f t="shared" si="174"/>
        <v>3</v>
      </c>
    </row>
    <row r="23" spans="1:108" x14ac:dyDescent="0.25"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</row>
    <row r="24" spans="1:108" x14ac:dyDescent="0.25">
      <c r="A24" t="s">
        <v>91</v>
      </c>
      <c r="B24" t="s">
        <v>92</v>
      </c>
      <c r="C24">
        <v>35935</v>
      </c>
      <c r="E24" s="1">
        <v>5</v>
      </c>
      <c r="F24" s="1">
        <v>1</v>
      </c>
      <c r="G24" s="1"/>
      <c r="H24" s="1">
        <v>3</v>
      </c>
      <c r="I24" s="1">
        <v>3</v>
      </c>
      <c r="J24" s="1"/>
      <c r="K24" s="1">
        <v>5</v>
      </c>
      <c r="L24" s="1">
        <v>4</v>
      </c>
      <c r="M24" s="1"/>
      <c r="N24" s="1">
        <v>5</v>
      </c>
      <c r="O24" s="1">
        <v>3</v>
      </c>
      <c r="P24" s="1"/>
      <c r="Q24" s="1">
        <v>4</v>
      </c>
      <c r="R24" s="1">
        <v>4</v>
      </c>
      <c r="S24" s="1"/>
      <c r="T24" s="1">
        <v>5</v>
      </c>
      <c r="U24" s="1">
        <v>4</v>
      </c>
      <c r="V24" s="1"/>
      <c r="W24" s="1">
        <v>2</v>
      </c>
      <c r="X24" s="1">
        <v>4</v>
      </c>
      <c r="Y24" s="1"/>
      <c r="Z24" s="1">
        <v>4</v>
      </c>
      <c r="AA24" s="1">
        <v>1</v>
      </c>
      <c r="AB24" s="1"/>
      <c r="AC24" s="1">
        <v>2</v>
      </c>
      <c r="AD24" s="1">
        <v>5</v>
      </c>
      <c r="AE24" s="1"/>
      <c r="AF24" s="1">
        <v>5</v>
      </c>
      <c r="AG24" s="1">
        <v>3</v>
      </c>
      <c r="AH24" s="1"/>
      <c r="AI24" s="1">
        <v>5</v>
      </c>
      <c r="AJ24" s="1">
        <v>1</v>
      </c>
      <c r="AK24" s="1"/>
      <c r="AL24" s="1">
        <v>4</v>
      </c>
      <c r="AM24" s="1">
        <v>1</v>
      </c>
      <c r="AN24" s="1"/>
      <c r="AO24" s="1">
        <v>4</v>
      </c>
      <c r="AP24" s="1">
        <v>3</v>
      </c>
      <c r="AQ24" s="1"/>
      <c r="AR24" s="1">
        <v>4</v>
      </c>
      <c r="AS24" s="1">
        <v>4</v>
      </c>
      <c r="AT24" s="1"/>
      <c r="AU24" s="1">
        <v>5</v>
      </c>
      <c r="AV24" s="1">
        <v>4</v>
      </c>
      <c r="AW24" s="1"/>
      <c r="AX24" s="1">
        <v>4</v>
      </c>
      <c r="AY24" s="1">
        <v>1</v>
      </c>
      <c r="AZ24" s="1"/>
      <c r="BA24" s="1">
        <v>5</v>
      </c>
      <c r="BB24" s="1">
        <v>5</v>
      </c>
      <c r="BC24" s="1"/>
      <c r="BD24" s="1">
        <v>5</v>
      </c>
      <c r="BE24" s="1">
        <v>1</v>
      </c>
      <c r="BF24" s="1"/>
      <c r="BG24" s="1">
        <v>3</v>
      </c>
      <c r="BH24" s="1">
        <v>4</v>
      </c>
      <c r="BI24" s="1"/>
      <c r="BJ24" s="1">
        <v>2</v>
      </c>
      <c r="BK24" s="1">
        <v>4</v>
      </c>
      <c r="BL24" s="1"/>
      <c r="BM24" s="1">
        <v>4</v>
      </c>
      <c r="BN24" s="1">
        <v>1</v>
      </c>
      <c r="BO24" s="1"/>
      <c r="BP24" s="1">
        <v>4</v>
      </c>
      <c r="BQ24" s="1">
        <v>4</v>
      </c>
      <c r="BR24" s="1"/>
      <c r="BS24" s="1">
        <v>4</v>
      </c>
      <c r="BT24" s="1">
        <v>2</v>
      </c>
      <c r="BU24" s="1"/>
      <c r="BV24" s="1">
        <v>5</v>
      </c>
      <c r="BW24" s="1">
        <v>4</v>
      </c>
      <c r="BX24" s="1"/>
      <c r="BY24" s="1">
        <v>4</v>
      </c>
      <c r="BZ24" s="1">
        <v>3</v>
      </c>
      <c r="CA24" s="1"/>
      <c r="CB24" s="1">
        <v>3</v>
      </c>
      <c r="CC24" s="1">
        <v>3</v>
      </c>
      <c r="CD24" s="1"/>
      <c r="CE24" s="1">
        <v>2</v>
      </c>
      <c r="CF24" s="1">
        <v>3</v>
      </c>
      <c r="CG24" s="1"/>
      <c r="CH24" s="1">
        <v>5</v>
      </c>
      <c r="CI24" s="1">
        <v>5</v>
      </c>
      <c r="CJ24" s="1"/>
      <c r="CK24" s="1">
        <v>2</v>
      </c>
      <c r="CL24" s="1">
        <v>5</v>
      </c>
      <c r="CM24" s="1"/>
      <c r="CN24" s="1">
        <v>2</v>
      </c>
      <c r="CO24" s="1">
        <v>5</v>
      </c>
      <c r="CP24" s="1"/>
      <c r="CQ24" s="1">
        <v>4</v>
      </c>
      <c r="CR24" s="1">
        <v>1</v>
      </c>
      <c r="CS24" s="1"/>
      <c r="CT24" s="1">
        <v>3</v>
      </c>
      <c r="CU24" s="1">
        <v>2</v>
      </c>
      <c r="CV24" s="1"/>
      <c r="CW24" s="1">
        <v>2</v>
      </c>
      <c r="CX24" s="1">
        <v>1</v>
      </c>
      <c r="CY24" s="1"/>
      <c r="CZ24" s="1">
        <v>3</v>
      </c>
      <c r="DA24" s="1">
        <v>5</v>
      </c>
      <c r="DB24" s="1"/>
      <c r="DC24" s="1">
        <v>4</v>
      </c>
      <c r="DD24" s="1">
        <v>4</v>
      </c>
    </row>
    <row r="25" spans="1:108" x14ac:dyDescent="0.25">
      <c r="A25" t="s">
        <v>79</v>
      </c>
      <c r="E25" s="1">
        <f t="shared" ref="E25:F25" si="175">AVERAGE(E24)</f>
        <v>5</v>
      </c>
      <c r="F25" s="1">
        <f t="shared" si="175"/>
        <v>1</v>
      </c>
      <c r="G25" s="1"/>
      <c r="H25" s="1">
        <f t="shared" ref="H25:I25" si="176">AVERAGE(H24)</f>
        <v>3</v>
      </c>
      <c r="I25" s="1">
        <f t="shared" si="176"/>
        <v>3</v>
      </c>
      <c r="J25" s="1"/>
      <c r="K25" s="1">
        <f t="shared" ref="K25:L25" si="177">AVERAGE(K24)</f>
        <v>5</v>
      </c>
      <c r="L25" s="1">
        <f t="shared" si="177"/>
        <v>4</v>
      </c>
      <c r="M25" s="1"/>
      <c r="N25" s="1">
        <f t="shared" ref="N25:O25" si="178">AVERAGE(N24)</f>
        <v>5</v>
      </c>
      <c r="O25" s="1">
        <f t="shared" si="178"/>
        <v>3</v>
      </c>
      <c r="P25" s="1"/>
      <c r="Q25" s="1">
        <f t="shared" ref="Q25:R25" si="179">AVERAGE(Q24)</f>
        <v>4</v>
      </c>
      <c r="R25" s="1">
        <f t="shared" si="179"/>
        <v>4</v>
      </c>
      <c r="S25" s="1"/>
      <c r="T25" s="1">
        <f t="shared" ref="T25:U25" si="180">AVERAGE(T24)</f>
        <v>5</v>
      </c>
      <c r="U25" s="1">
        <f t="shared" si="180"/>
        <v>4</v>
      </c>
      <c r="V25" s="1"/>
      <c r="W25" s="1">
        <f t="shared" ref="W25:X25" si="181">AVERAGE(W24)</f>
        <v>2</v>
      </c>
      <c r="X25" s="1">
        <f t="shared" si="181"/>
        <v>4</v>
      </c>
      <c r="Y25" s="1"/>
      <c r="Z25" s="1">
        <f t="shared" ref="Z25:AA25" si="182">AVERAGE(Z24)</f>
        <v>4</v>
      </c>
      <c r="AA25" s="1">
        <f t="shared" si="182"/>
        <v>1</v>
      </c>
      <c r="AB25" s="1"/>
      <c r="AC25" s="1">
        <f t="shared" ref="AC25:AD25" si="183">AVERAGE(AC24)</f>
        <v>2</v>
      </c>
      <c r="AD25" s="1">
        <f t="shared" si="183"/>
        <v>5</v>
      </c>
      <c r="AE25" s="1"/>
      <c r="AF25" s="1">
        <f t="shared" ref="AF25:AG25" si="184">AVERAGE(AF24)</f>
        <v>5</v>
      </c>
      <c r="AG25" s="1">
        <f t="shared" si="184"/>
        <v>3</v>
      </c>
      <c r="AH25" s="1"/>
      <c r="AI25" s="1">
        <f t="shared" ref="AI25:AJ25" si="185">AVERAGE(AI24)</f>
        <v>5</v>
      </c>
      <c r="AJ25" s="1">
        <f t="shared" si="185"/>
        <v>1</v>
      </c>
      <c r="AK25" s="1"/>
      <c r="AL25" s="1">
        <f t="shared" ref="AL25:AM25" si="186">AVERAGE(AL24)</f>
        <v>4</v>
      </c>
      <c r="AM25" s="1">
        <f t="shared" si="186"/>
        <v>1</v>
      </c>
      <c r="AN25" s="1"/>
      <c r="AO25" s="1">
        <f t="shared" ref="AO25:AP25" si="187">AVERAGE(AO24)</f>
        <v>4</v>
      </c>
      <c r="AP25" s="1">
        <f t="shared" si="187"/>
        <v>3</v>
      </c>
      <c r="AQ25" s="1"/>
      <c r="AR25" s="1">
        <f t="shared" ref="AR25:AS25" si="188">AVERAGE(AR24)</f>
        <v>4</v>
      </c>
      <c r="AS25" s="1">
        <f t="shared" si="188"/>
        <v>4</v>
      </c>
      <c r="AT25" s="1"/>
      <c r="AU25" s="1">
        <f t="shared" ref="AU25:AV25" si="189">AVERAGE(AU24)</f>
        <v>5</v>
      </c>
      <c r="AV25" s="1">
        <f t="shared" si="189"/>
        <v>4</v>
      </c>
      <c r="AW25" s="1"/>
      <c r="AX25" s="1">
        <f t="shared" ref="AX25:AY25" si="190">AVERAGE(AX24)</f>
        <v>4</v>
      </c>
      <c r="AY25" s="1">
        <f t="shared" si="190"/>
        <v>1</v>
      </c>
      <c r="AZ25" s="1"/>
      <c r="BA25" s="1">
        <f t="shared" ref="BA25:BB25" si="191">AVERAGE(BA24)</f>
        <v>5</v>
      </c>
      <c r="BB25" s="1">
        <f t="shared" si="191"/>
        <v>5</v>
      </c>
      <c r="BC25" s="1"/>
      <c r="BD25" s="1">
        <f t="shared" ref="BD25:BE25" si="192">AVERAGE(BD24)</f>
        <v>5</v>
      </c>
      <c r="BE25" s="1">
        <f t="shared" si="192"/>
        <v>1</v>
      </c>
      <c r="BF25" s="1"/>
      <c r="BG25" s="1">
        <f t="shared" ref="BG25:BH25" si="193">AVERAGE(BG24)</f>
        <v>3</v>
      </c>
      <c r="BH25" s="1">
        <f t="shared" si="193"/>
        <v>4</v>
      </c>
      <c r="BI25" s="1"/>
      <c r="BJ25" s="1">
        <f t="shared" ref="BJ25:BK25" si="194">AVERAGE(BJ24)</f>
        <v>2</v>
      </c>
      <c r="BK25" s="1">
        <f t="shared" si="194"/>
        <v>4</v>
      </c>
      <c r="BL25" s="1"/>
      <c r="BM25" s="1">
        <f t="shared" ref="BM25:BN25" si="195">AVERAGE(BM24)</f>
        <v>4</v>
      </c>
      <c r="BN25" s="1">
        <f t="shared" si="195"/>
        <v>1</v>
      </c>
      <c r="BO25" s="1"/>
      <c r="BP25" s="1">
        <f t="shared" ref="BP25:BQ25" si="196">AVERAGE(BP24)</f>
        <v>4</v>
      </c>
      <c r="BQ25" s="1">
        <f t="shared" si="196"/>
        <v>4</v>
      </c>
      <c r="BR25" s="1"/>
      <c r="BS25" s="1">
        <f t="shared" ref="BS25:BT25" si="197">AVERAGE(BS24)</f>
        <v>4</v>
      </c>
      <c r="BT25" s="1">
        <f t="shared" si="197"/>
        <v>2</v>
      </c>
      <c r="BU25" s="1"/>
      <c r="BV25" s="1">
        <f t="shared" ref="BV25:BW25" si="198">AVERAGE(BV24)</f>
        <v>5</v>
      </c>
      <c r="BW25" s="1">
        <f t="shared" si="198"/>
        <v>4</v>
      </c>
      <c r="BX25" s="1"/>
      <c r="BY25" s="1">
        <f t="shared" ref="BY25:BZ25" si="199">AVERAGE(BY24)</f>
        <v>4</v>
      </c>
      <c r="BZ25" s="1">
        <f t="shared" si="199"/>
        <v>3</v>
      </c>
      <c r="CA25" s="1"/>
      <c r="CB25" s="1">
        <f t="shared" ref="CB25:CC25" si="200">AVERAGE(CB24)</f>
        <v>3</v>
      </c>
      <c r="CC25" s="1">
        <f t="shared" si="200"/>
        <v>3</v>
      </c>
      <c r="CD25" s="1"/>
      <c r="CE25" s="1">
        <f t="shared" ref="CE25:CF25" si="201">AVERAGE(CE24)</f>
        <v>2</v>
      </c>
      <c r="CF25" s="1">
        <f t="shared" si="201"/>
        <v>3</v>
      </c>
      <c r="CG25" s="1"/>
      <c r="CH25" s="1">
        <f t="shared" ref="CH25:CI25" si="202">AVERAGE(CH24)</f>
        <v>5</v>
      </c>
      <c r="CI25" s="1">
        <f t="shared" si="202"/>
        <v>5</v>
      </c>
      <c r="CJ25" s="1"/>
      <c r="CK25" s="1">
        <f t="shared" ref="CK25:CL25" si="203">AVERAGE(CK24)</f>
        <v>2</v>
      </c>
      <c r="CL25" s="1">
        <f t="shared" si="203"/>
        <v>5</v>
      </c>
      <c r="CM25" s="1"/>
      <c r="CN25" s="1">
        <f t="shared" ref="CN25:CO25" si="204">AVERAGE(CN24)</f>
        <v>2</v>
      </c>
      <c r="CO25" s="1">
        <f t="shared" si="204"/>
        <v>5</v>
      </c>
      <c r="CP25" s="1"/>
      <c r="CQ25" s="1">
        <f t="shared" ref="CQ25:CR25" si="205">AVERAGE(CQ24)</f>
        <v>4</v>
      </c>
      <c r="CR25" s="1">
        <f t="shared" si="205"/>
        <v>1</v>
      </c>
      <c r="CS25" s="1"/>
      <c r="CT25" s="1">
        <f t="shared" ref="CT25:CU25" si="206">AVERAGE(CT24)</f>
        <v>3</v>
      </c>
      <c r="CU25" s="1">
        <f t="shared" si="206"/>
        <v>2</v>
      </c>
      <c r="CV25" s="1"/>
      <c r="CW25" s="1">
        <f t="shared" ref="CW25:CX25" si="207">AVERAGE(CW24)</f>
        <v>2</v>
      </c>
      <c r="CX25" s="1">
        <f t="shared" si="207"/>
        <v>1</v>
      </c>
      <c r="CY25" s="1"/>
      <c r="CZ25" s="1">
        <f t="shared" ref="CZ25:DA25" si="208">AVERAGE(CZ24)</f>
        <v>3</v>
      </c>
      <c r="DA25" s="1">
        <f t="shared" si="208"/>
        <v>5</v>
      </c>
      <c r="DB25" s="1"/>
      <c r="DC25" s="1">
        <f t="shared" ref="DC25:DD25" si="209">AVERAGE(DC24)</f>
        <v>4</v>
      </c>
      <c r="DD25" s="1">
        <f t="shared" si="209"/>
        <v>4</v>
      </c>
    </row>
    <row r="26" spans="1:108" x14ac:dyDescent="0.25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</row>
    <row r="27" spans="1:108" x14ac:dyDescent="0.25">
      <c r="A27" t="s">
        <v>93</v>
      </c>
      <c r="B27" t="s">
        <v>94</v>
      </c>
      <c r="C27">
        <v>4964</v>
      </c>
      <c r="E27" s="1">
        <v>3</v>
      </c>
      <c r="F27" s="1">
        <v>4</v>
      </c>
      <c r="G27" s="1"/>
      <c r="H27" s="1">
        <v>3</v>
      </c>
      <c r="I27" s="1">
        <v>5</v>
      </c>
      <c r="J27" s="1"/>
      <c r="K27" s="1">
        <v>3</v>
      </c>
      <c r="L27" s="1">
        <v>5</v>
      </c>
      <c r="M27" s="1"/>
      <c r="N27" s="1">
        <v>4</v>
      </c>
      <c r="O27" s="1">
        <v>5</v>
      </c>
      <c r="P27" s="1"/>
      <c r="Q27" s="1">
        <v>4</v>
      </c>
      <c r="R27" s="1">
        <v>4</v>
      </c>
      <c r="S27" s="1"/>
      <c r="T27" s="1">
        <v>4</v>
      </c>
      <c r="U27" s="1">
        <v>5</v>
      </c>
      <c r="V27" s="1"/>
      <c r="W27" s="1">
        <v>3</v>
      </c>
      <c r="X27" s="1">
        <v>4</v>
      </c>
      <c r="Y27" s="1"/>
      <c r="Z27" s="1">
        <v>3</v>
      </c>
      <c r="AA27" s="1">
        <v>2</v>
      </c>
      <c r="AB27" s="1"/>
      <c r="AC27" s="1">
        <v>2</v>
      </c>
      <c r="AD27" s="1">
        <v>3</v>
      </c>
      <c r="AE27" s="1"/>
      <c r="AF27" s="1">
        <v>4</v>
      </c>
      <c r="AG27" s="1">
        <v>5</v>
      </c>
      <c r="AH27" s="1"/>
      <c r="AI27" s="1">
        <v>2</v>
      </c>
      <c r="AJ27" s="1">
        <v>2</v>
      </c>
      <c r="AK27" s="1"/>
      <c r="AL27" s="1">
        <v>2</v>
      </c>
      <c r="AM27" s="1">
        <v>2</v>
      </c>
      <c r="AN27" s="1"/>
      <c r="AO27" s="1">
        <v>4</v>
      </c>
      <c r="AP27" s="1">
        <v>2</v>
      </c>
      <c r="AQ27" s="1"/>
      <c r="AR27" s="1">
        <v>3</v>
      </c>
      <c r="AS27" s="1">
        <v>5</v>
      </c>
      <c r="AT27" s="1"/>
      <c r="AU27" s="1">
        <v>3</v>
      </c>
      <c r="AV27" s="1">
        <v>5</v>
      </c>
      <c r="AW27" s="1"/>
      <c r="AX27" s="1">
        <v>3</v>
      </c>
      <c r="AY27" s="1">
        <v>5</v>
      </c>
      <c r="AZ27" s="1"/>
      <c r="BA27" s="1">
        <v>4</v>
      </c>
      <c r="BB27" s="1">
        <v>4</v>
      </c>
      <c r="BC27" s="1"/>
      <c r="BD27" s="1">
        <v>2</v>
      </c>
      <c r="BE27" s="1">
        <v>4</v>
      </c>
      <c r="BF27" s="1"/>
      <c r="BG27" s="1">
        <v>3</v>
      </c>
      <c r="BH27" s="1">
        <v>5</v>
      </c>
      <c r="BI27" s="1"/>
      <c r="BJ27" s="1">
        <v>2</v>
      </c>
      <c r="BK27" s="1">
        <v>4</v>
      </c>
      <c r="BL27" s="1"/>
      <c r="BM27" s="1">
        <v>3</v>
      </c>
      <c r="BN27" s="1">
        <v>1</v>
      </c>
      <c r="BO27" s="1"/>
      <c r="BP27" s="1">
        <v>3</v>
      </c>
      <c r="BQ27" s="1">
        <v>5</v>
      </c>
      <c r="BR27" s="1"/>
      <c r="BS27" s="1">
        <v>4</v>
      </c>
      <c r="BT27" s="1">
        <v>3</v>
      </c>
      <c r="BU27" s="1"/>
      <c r="BV27" s="1">
        <v>3</v>
      </c>
      <c r="BW27" s="1">
        <v>4</v>
      </c>
      <c r="BX27" s="1"/>
      <c r="BY27" s="1">
        <v>3</v>
      </c>
      <c r="BZ27" s="1">
        <v>4</v>
      </c>
      <c r="CA27" s="1"/>
      <c r="CB27" s="1">
        <v>2</v>
      </c>
      <c r="CC27" s="1">
        <v>4</v>
      </c>
      <c r="CD27" s="1"/>
      <c r="CE27" s="1">
        <v>2</v>
      </c>
      <c r="CF27" s="1">
        <v>3</v>
      </c>
      <c r="CG27" s="1"/>
      <c r="CH27" s="1">
        <v>3</v>
      </c>
      <c r="CI27" s="1">
        <v>3</v>
      </c>
      <c r="CJ27" s="1"/>
      <c r="CK27" s="1">
        <v>2</v>
      </c>
      <c r="CL27" s="1">
        <v>4</v>
      </c>
      <c r="CM27" s="1"/>
      <c r="CN27" s="1">
        <v>3</v>
      </c>
      <c r="CO27" s="1">
        <v>4</v>
      </c>
      <c r="CP27" s="1"/>
      <c r="CQ27" s="1">
        <v>3</v>
      </c>
      <c r="CR27" s="1">
        <v>2</v>
      </c>
      <c r="CS27" s="1"/>
      <c r="CT27" s="1">
        <v>3</v>
      </c>
      <c r="CU27" s="1">
        <v>2</v>
      </c>
      <c r="CV27" s="1"/>
      <c r="CW27" s="1">
        <v>2</v>
      </c>
      <c r="CX27" s="1">
        <v>4</v>
      </c>
      <c r="CY27" s="1"/>
      <c r="CZ27" s="1">
        <v>2</v>
      </c>
      <c r="DA27" s="1">
        <v>2</v>
      </c>
      <c r="DB27" s="1"/>
      <c r="DC27" s="1">
        <v>3</v>
      </c>
      <c r="DD27" s="1">
        <v>4</v>
      </c>
    </row>
    <row r="28" spans="1:108" x14ac:dyDescent="0.25">
      <c r="A28" t="s">
        <v>95</v>
      </c>
      <c r="B28" t="s">
        <v>94</v>
      </c>
      <c r="C28">
        <v>44917</v>
      </c>
      <c r="E28" s="1">
        <v>3</v>
      </c>
      <c r="F28" s="1">
        <v>2</v>
      </c>
      <c r="G28" s="1"/>
      <c r="H28" s="1">
        <v>4</v>
      </c>
      <c r="I28" s="1">
        <v>2</v>
      </c>
      <c r="J28" s="1"/>
      <c r="K28" s="1">
        <v>3</v>
      </c>
      <c r="L28" s="1">
        <v>5</v>
      </c>
      <c r="M28" s="1"/>
      <c r="N28" s="1">
        <v>3</v>
      </c>
      <c r="O28" s="1">
        <v>4</v>
      </c>
      <c r="P28" s="1"/>
      <c r="Q28" s="1">
        <v>3</v>
      </c>
      <c r="R28" s="1">
        <v>5</v>
      </c>
      <c r="S28" s="1"/>
      <c r="T28" s="1">
        <v>4</v>
      </c>
      <c r="U28" s="1">
        <v>4</v>
      </c>
      <c r="V28" s="1"/>
      <c r="W28" s="1">
        <v>3</v>
      </c>
      <c r="X28" s="1">
        <v>3</v>
      </c>
      <c r="Y28" s="1"/>
      <c r="Z28" s="1">
        <v>3</v>
      </c>
      <c r="AA28" s="1">
        <v>3</v>
      </c>
      <c r="AB28" s="1"/>
      <c r="AC28" s="1">
        <v>2</v>
      </c>
      <c r="AD28" s="1">
        <v>5</v>
      </c>
      <c r="AE28" s="1"/>
      <c r="AF28" s="1">
        <v>3</v>
      </c>
      <c r="AG28" s="1">
        <v>5</v>
      </c>
      <c r="AH28" s="1"/>
      <c r="AI28" s="1">
        <v>4</v>
      </c>
      <c r="AJ28" s="1">
        <v>4</v>
      </c>
      <c r="AK28" s="1"/>
      <c r="AL28" s="1">
        <v>2</v>
      </c>
      <c r="AM28" s="1">
        <v>4</v>
      </c>
      <c r="AN28" s="1"/>
      <c r="AO28" s="1">
        <v>5</v>
      </c>
      <c r="AP28" s="1">
        <v>5</v>
      </c>
      <c r="AQ28" s="1"/>
      <c r="AR28" s="1">
        <v>2</v>
      </c>
      <c r="AS28" s="1">
        <v>5</v>
      </c>
      <c r="AT28" s="1"/>
      <c r="AU28" s="1">
        <v>4</v>
      </c>
      <c r="AV28" s="1">
        <v>5</v>
      </c>
      <c r="AW28" s="1"/>
      <c r="AX28" s="1">
        <v>2</v>
      </c>
      <c r="AY28" s="1">
        <v>3</v>
      </c>
      <c r="AZ28" s="1"/>
      <c r="BA28" s="1">
        <v>3</v>
      </c>
      <c r="BB28" s="1">
        <v>5</v>
      </c>
      <c r="BC28" s="1"/>
      <c r="BD28" s="1">
        <v>4</v>
      </c>
      <c r="BE28" s="1">
        <v>4</v>
      </c>
      <c r="BF28" s="1"/>
      <c r="BG28" s="1">
        <v>3</v>
      </c>
      <c r="BH28" s="1">
        <v>5</v>
      </c>
      <c r="BI28" s="1"/>
      <c r="BJ28" s="1">
        <v>3</v>
      </c>
      <c r="BK28" s="1">
        <v>4</v>
      </c>
      <c r="BL28" s="1"/>
      <c r="BM28" s="1">
        <v>4</v>
      </c>
      <c r="BN28" s="1">
        <v>3</v>
      </c>
      <c r="BO28" s="1"/>
      <c r="BP28" s="1">
        <v>4</v>
      </c>
      <c r="BQ28" s="1">
        <v>5</v>
      </c>
      <c r="BR28" s="1"/>
      <c r="BS28" s="1">
        <v>3</v>
      </c>
      <c r="BT28" s="1">
        <v>4</v>
      </c>
      <c r="BU28" s="1"/>
      <c r="BV28" s="1">
        <v>3</v>
      </c>
      <c r="BW28" s="1">
        <v>4</v>
      </c>
      <c r="BX28" s="1"/>
      <c r="BY28" s="1">
        <v>4</v>
      </c>
      <c r="BZ28" s="1">
        <v>5</v>
      </c>
      <c r="CA28" s="1"/>
      <c r="CB28" s="1">
        <v>4</v>
      </c>
      <c r="CC28" s="1">
        <v>5</v>
      </c>
      <c r="CD28" s="1"/>
      <c r="CE28" s="1">
        <v>2</v>
      </c>
      <c r="CF28" s="1">
        <v>5</v>
      </c>
      <c r="CG28" s="1"/>
      <c r="CH28" s="1">
        <v>4</v>
      </c>
      <c r="CI28" s="1">
        <v>5</v>
      </c>
      <c r="CJ28" s="1"/>
      <c r="CK28" s="1">
        <v>4</v>
      </c>
      <c r="CL28" s="1">
        <v>3</v>
      </c>
      <c r="CM28" s="1"/>
      <c r="CN28" s="1">
        <v>3</v>
      </c>
      <c r="CO28" s="1">
        <v>4</v>
      </c>
      <c r="CP28" s="1"/>
      <c r="CQ28" s="1">
        <v>4</v>
      </c>
      <c r="CR28" s="1">
        <v>1</v>
      </c>
      <c r="CS28" s="1"/>
      <c r="CT28" s="1">
        <v>3</v>
      </c>
      <c r="CU28" s="1">
        <v>3</v>
      </c>
      <c r="CV28" s="1"/>
      <c r="CW28" s="1">
        <v>1</v>
      </c>
      <c r="CX28" s="1">
        <v>5</v>
      </c>
      <c r="CY28" s="1"/>
      <c r="CZ28" s="1">
        <v>2</v>
      </c>
      <c r="DA28" s="1">
        <v>5</v>
      </c>
      <c r="DB28" s="1"/>
      <c r="DC28" s="1">
        <v>3</v>
      </c>
      <c r="DD28" s="1">
        <v>5</v>
      </c>
    </row>
    <row r="29" spans="1:108" x14ac:dyDescent="0.25">
      <c r="A29" t="s">
        <v>79</v>
      </c>
      <c r="E29" s="1">
        <f t="shared" ref="E29:F29" si="210">AVERAGE(E27:E28)</f>
        <v>3</v>
      </c>
      <c r="F29" s="1">
        <f t="shared" si="210"/>
        <v>3</v>
      </c>
      <c r="G29" s="1"/>
      <c r="H29" s="1">
        <f t="shared" ref="H29:I29" si="211">AVERAGE(H27:H28)</f>
        <v>3.5</v>
      </c>
      <c r="I29" s="1">
        <f t="shared" si="211"/>
        <v>3.5</v>
      </c>
      <c r="J29" s="1"/>
      <c r="K29" s="1">
        <f t="shared" ref="K29:L29" si="212">AVERAGE(K27:K28)</f>
        <v>3</v>
      </c>
      <c r="L29" s="1">
        <f t="shared" si="212"/>
        <v>5</v>
      </c>
      <c r="M29" s="1"/>
      <c r="N29" s="1">
        <f t="shared" ref="N29:O29" si="213">AVERAGE(N27:N28)</f>
        <v>3.5</v>
      </c>
      <c r="O29" s="1">
        <f t="shared" si="213"/>
        <v>4.5</v>
      </c>
      <c r="P29" s="1"/>
      <c r="Q29" s="1">
        <f t="shared" ref="Q29:R29" si="214">AVERAGE(Q27:Q28)</f>
        <v>3.5</v>
      </c>
      <c r="R29" s="1">
        <f t="shared" si="214"/>
        <v>4.5</v>
      </c>
      <c r="S29" s="1"/>
      <c r="T29" s="1">
        <f t="shared" ref="T29:U29" si="215">AVERAGE(T27:T28)</f>
        <v>4</v>
      </c>
      <c r="U29" s="1">
        <f t="shared" si="215"/>
        <v>4.5</v>
      </c>
      <c r="V29" s="1"/>
      <c r="W29" s="1">
        <f t="shared" ref="W29:X29" si="216">AVERAGE(W27:W28)</f>
        <v>3</v>
      </c>
      <c r="X29" s="1">
        <f t="shared" si="216"/>
        <v>3.5</v>
      </c>
      <c r="Y29" s="1"/>
      <c r="Z29" s="1">
        <f t="shared" ref="Z29:AA29" si="217">AVERAGE(Z27:Z28)</f>
        <v>3</v>
      </c>
      <c r="AA29" s="1">
        <f t="shared" si="217"/>
        <v>2.5</v>
      </c>
      <c r="AB29" s="1"/>
      <c r="AC29" s="1">
        <f t="shared" ref="AC29:AD29" si="218">AVERAGE(AC27:AC28)</f>
        <v>2</v>
      </c>
      <c r="AD29" s="1">
        <f t="shared" si="218"/>
        <v>4</v>
      </c>
      <c r="AE29" s="1"/>
      <c r="AF29" s="1">
        <f t="shared" ref="AF29:AG29" si="219">AVERAGE(AF27:AF28)</f>
        <v>3.5</v>
      </c>
      <c r="AG29" s="1">
        <f t="shared" si="219"/>
        <v>5</v>
      </c>
      <c r="AH29" s="1"/>
      <c r="AI29" s="1">
        <f t="shared" ref="AI29:AJ29" si="220">AVERAGE(AI27:AI28)</f>
        <v>3</v>
      </c>
      <c r="AJ29" s="1">
        <f t="shared" si="220"/>
        <v>3</v>
      </c>
      <c r="AK29" s="1"/>
      <c r="AL29" s="1">
        <f t="shared" ref="AL29:AM29" si="221">AVERAGE(AL27:AL28)</f>
        <v>2</v>
      </c>
      <c r="AM29" s="1">
        <f t="shared" si="221"/>
        <v>3</v>
      </c>
      <c r="AN29" s="1"/>
      <c r="AO29" s="1">
        <f t="shared" ref="AO29:AP29" si="222">AVERAGE(AO27:AO28)</f>
        <v>4.5</v>
      </c>
      <c r="AP29" s="1">
        <f t="shared" si="222"/>
        <v>3.5</v>
      </c>
      <c r="AQ29" s="1"/>
      <c r="AR29" s="1">
        <f t="shared" ref="AR29:AS29" si="223">AVERAGE(AR27:AR28)</f>
        <v>2.5</v>
      </c>
      <c r="AS29" s="1">
        <f t="shared" si="223"/>
        <v>5</v>
      </c>
      <c r="AT29" s="1"/>
      <c r="AU29" s="1">
        <f t="shared" ref="AU29:AV29" si="224">AVERAGE(AU27:AU28)</f>
        <v>3.5</v>
      </c>
      <c r="AV29" s="1">
        <f t="shared" si="224"/>
        <v>5</v>
      </c>
      <c r="AW29" s="1"/>
      <c r="AX29" s="1">
        <f t="shared" ref="AX29:AY29" si="225">AVERAGE(AX27:AX28)</f>
        <v>2.5</v>
      </c>
      <c r="AY29" s="1">
        <f t="shared" si="225"/>
        <v>4</v>
      </c>
      <c r="AZ29" s="1"/>
      <c r="BA29" s="1">
        <f t="shared" ref="BA29:BB29" si="226">AVERAGE(BA27:BA28)</f>
        <v>3.5</v>
      </c>
      <c r="BB29" s="1">
        <f t="shared" si="226"/>
        <v>4.5</v>
      </c>
      <c r="BC29" s="1"/>
      <c r="BD29" s="1">
        <f t="shared" ref="BD29:BE29" si="227">AVERAGE(BD27:BD28)</f>
        <v>3</v>
      </c>
      <c r="BE29" s="1">
        <f t="shared" si="227"/>
        <v>4</v>
      </c>
      <c r="BF29" s="1"/>
      <c r="BG29" s="1">
        <f t="shared" ref="BG29:BH29" si="228">AVERAGE(BG27:BG28)</f>
        <v>3</v>
      </c>
      <c r="BH29" s="1">
        <f t="shared" si="228"/>
        <v>5</v>
      </c>
      <c r="BI29" s="1"/>
      <c r="BJ29" s="1">
        <f t="shared" ref="BJ29:BK29" si="229">AVERAGE(BJ27:BJ28)</f>
        <v>2.5</v>
      </c>
      <c r="BK29" s="1">
        <f t="shared" si="229"/>
        <v>4</v>
      </c>
      <c r="BL29" s="1"/>
      <c r="BM29" s="1">
        <f t="shared" ref="BM29:BN29" si="230">AVERAGE(BM27:BM28)</f>
        <v>3.5</v>
      </c>
      <c r="BN29" s="1">
        <f t="shared" si="230"/>
        <v>2</v>
      </c>
      <c r="BO29" s="1"/>
      <c r="BP29" s="1">
        <f t="shared" ref="BP29:BQ29" si="231">AVERAGE(BP27:BP28)</f>
        <v>3.5</v>
      </c>
      <c r="BQ29" s="1">
        <f t="shared" si="231"/>
        <v>5</v>
      </c>
      <c r="BR29" s="1"/>
      <c r="BS29" s="1">
        <f t="shared" ref="BS29:BT29" si="232">AVERAGE(BS27:BS28)</f>
        <v>3.5</v>
      </c>
      <c r="BT29" s="1">
        <f t="shared" si="232"/>
        <v>3.5</v>
      </c>
      <c r="BU29" s="1"/>
      <c r="BV29" s="1">
        <f t="shared" ref="BV29:BW29" si="233">AVERAGE(BV27:BV28)</f>
        <v>3</v>
      </c>
      <c r="BW29" s="1">
        <f t="shared" si="233"/>
        <v>4</v>
      </c>
      <c r="BX29" s="1"/>
      <c r="BY29" s="1">
        <f t="shared" ref="BY29:BZ29" si="234">AVERAGE(BY27:BY28)</f>
        <v>3.5</v>
      </c>
      <c r="BZ29" s="1">
        <f t="shared" si="234"/>
        <v>4.5</v>
      </c>
      <c r="CA29" s="1"/>
      <c r="CB29" s="1">
        <f t="shared" ref="CB29:CC29" si="235">AVERAGE(CB27:CB28)</f>
        <v>3</v>
      </c>
      <c r="CC29" s="1">
        <f t="shared" si="235"/>
        <v>4.5</v>
      </c>
      <c r="CD29" s="1"/>
      <c r="CE29" s="1">
        <f t="shared" ref="CE29:CF29" si="236">AVERAGE(CE27:CE28)</f>
        <v>2</v>
      </c>
      <c r="CF29" s="1">
        <f t="shared" si="236"/>
        <v>4</v>
      </c>
      <c r="CG29" s="1"/>
      <c r="CH29" s="1">
        <f t="shared" ref="CH29:CI29" si="237">AVERAGE(CH27:CH28)</f>
        <v>3.5</v>
      </c>
      <c r="CI29" s="1">
        <f t="shared" si="237"/>
        <v>4</v>
      </c>
      <c r="CJ29" s="1"/>
      <c r="CK29" s="1">
        <f t="shared" ref="CK29:CL29" si="238">AVERAGE(CK27:CK28)</f>
        <v>3</v>
      </c>
      <c r="CL29" s="1">
        <f t="shared" si="238"/>
        <v>3.5</v>
      </c>
      <c r="CM29" s="1"/>
      <c r="CN29" s="1">
        <f t="shared" ref="CN29:CO29" si="239">AVERAGE(CN27:CN28)</f>
        <v>3</v>
      </c>
      <c r="CO29" s="1">
        <f t="shared" si="239"/>
        <v>4</v>
      </c>
      <c r="CP29" s="1"/>
      <c r="CQ29" s="1">
        <f t="shared" ref="CQ29:CR29" si="240">AVERAGE(CQ27:CQ28)</f>
        <v>3.5</v>
      </c>
      <c r="CR29" s="1">
        <f t="shared" si="240"/>
        <v>1.5</v>
      </c>
      <c r="CS29" s="1"/>
      <c r="CT29" s="1">
        <f t="shared" ref="CT29:CU29" si="241">AVERAGE(CT27:CT28)</f>
        <v>3</v>
      </c>
      <c r="CU29" s="1">
        <f t="shared" si="241"/>
        <v>2.5</v>
      </c>
      <c r="CV29" s="1"/>
      <c r="CW29" s="1">
        <f t="shared" ref="CW29:CX29" si="242">AVERAGE(CW27:CW28)</f>
        <v>1.5</v>
      </c>
      <c r="CX29" s="1">
        <f t="shared" si="242"/>
        <v>4.5</v>
      </c>
      <c r="CY29" s="1"/>
      <c r="CZ29" s="1">
        <f t="shared" ref="CZ29:DA29" si="243">AVERAGE(CZ27:CZ28)</f>
        <v>2</v>
      </c>
      <c r="DA29" s="1">
        <f t="shared" si="243"/>
        <v>3.5</v>
      </c>
      <c r="DB29" s="1"/>
      <c r="DC29" s="1">
        <f t="shared" ref="DC29:DD29" si="244">AVERAGE(DC27:DC28)</f>
        <v>3</v>
      </c>
      <c r="DD29" s="1">
        <f t="shared" si="244"/>
        <v>4.5</v>
      </c>
    </row>
    <row r="30" spans="1:108" x14ac:dyDescent="0.25"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</row>
    <row r="31" spans="1:108" x14ac:dyDescent="0.25">
      <c r="A31" t="s">
        <v>96</v>
      </c>
      <c r="B31" t="s">
        <v>97</v>
      </c>
      <c r="C31">
        <v>5602</v>
      </c>
      <c r="E31" s="1">
        <v>4</v>
      </c>
      <c r="F31" s="1">
        <v>1</v>
      </c>
      <c r="G31" s="1"/>
      <c r="H31" s="1">
        <v>4</v>
      </c>
      <c r="I31" s="1">
        <v>1</v>
      </c>
      <c r="J31" s="1"/>
      <c r="K31" s="1">
        <v>1</v>
      </c>
      <c r="L31" s="1">
        <v>2</v>
      </c>
      <c r="M31" s="1"/>
      <c r="N31" s="1">
        <v>4</v>
      </c>
      <c r="O31" s="1">
        <v>2</v>
      </c>
      <c r="P31" s="1"/>
      <c r="Q31" s="1">
        <v>1</v>
      </c>
      <c r="R31" s="1">
        <v>4</v>
      </c>
      <c r="S31" s="1"/>
      <c r="T31" s="1">
        <v>4</v>
      </c>
      <c r="U31" s="1">
        <v>2</v>
      </c>
      <c r="V31" s="1"/>
      <c r="W31" s="1">
        <v>2</v>
      </c>
      <c r="X31" s="1">
        <v>1</v>
      </c>
      <c r="Y31" s="1"/>
      <c r="Z31" s="1">
        <v>2</v>
      </c>
      <c r="AA31" s="1">
        <v>1</v>
      </c>
      <c r="AB31" s="1"/>
      <c r="AC31" s="1">
        <v>1</v>
      </c>
      <c r="AD31" s="1">
        <v>2</v>
      </c>
      <c r="AE31" s="1"/>
      <c r="AF31" s="1">
        <v>3</v>
      </c>
      <c r="AG31" s="1">
        <v>4</v>
      </c>
      <c r="AH31" s="1"/>
      <c r="AI31" s="1">
        <v>2</v>
      </c>
      <c r="AJ31" s="1">
        <v>2</v>
      </c>
      <c r="AK31" s="1"/>
      <c r="AL31" s="1">
        <v>2</v>
      </c>
      <c r="AM31" s="1">
        <v>1</v>
      </c>
      <c r="AN31" s="1"/>
      <c r="AO31" s="1">
        <v>4</v>
      </c>
      <c r="AP31" s="1">
        <v>2</v>
      </c>
      <c r="AQ31" s="1"/>
      <c r="AR31" s="1">
        <v>2</v>
      </c>
      <c r="AS31" s="1">
        <v>2</v>
      </c>
      <c r="AT31" s="1"/>
      <c r="AU31" s="1">
        <v>1</v>
      </c>
      <c r="AV31" s="1">
        <v>4</v>
      </c>
      <c r="AW31" s="1"/>
      <c r="AX31" s="1">
        <v>2</v>
      </c>
      <c r="AY31" s="1">
        <v>1</v>
      </c>
      <c r="AZ31" s="1"/>
      <c r="BA31" s="1">
        <v>2</v>
      </c>
      <c r="BB31" s="1">
        <v>2</v>
      </c>
      <c r="BC31" s="1"/>
      <c r="BD31" s="1">
        <v>2</v>
      </c>
      <c r="BE31" s="1">
        <v>1</v>
      </c>
      <c r="BF31" s="1"/>
      <c r="BG31" s="1">
        <v>1</v>
      </c>
      <c r="BH31" s="1">
        <v>4</v>
      </c>
      <c r="BI31" s="1"/>
      <c r="BJ31" s="1">
        <v>2</v>
      </c>
      <c r="BK31" s="1">
        <v>2</v>
      </c>
      <c r="BL31" s="1"/>
      <c r="BM31" s="1">
        <v>2</v>
      </c>
      <c r="BN31" s="1">
        <v>1</v>
      </c>
      <c r="BO31" s="1"/>
      <c r="BP31" s="1">
        <v>1</v>
      </c>
      <c r="BQ31" s="1">
        <v>1</v>
      </c>
      <c r="BR31" s="1"/>
      <c r="BS31" s="1">
        <v>4</v>
      </c>
      <c r="BT31" s="1">
        <v>3</v>
      </c>
      <c r="BU31" s="1"/>
      <c r="BV31" s="1">
        <v>2</v>
      </c>
      <c r="BW31" s="1">
        <v>1</v>
      </c>
      <c r="BX31" s="1"/>
      <c r="BY31" s="1">
        <v>3</v>
      </c>
      <c r="BZ31" s="1">
        <v>4</v>
      </c>
      <c r="CA31" s="1"/>
      <c r="CB31" s="1">
        <v>1</v>
      </c>
      <c r="CC31" s="1">
        <v>2</v>
      </c>
      <c r="CD31" s="1"/>
      <c r="CE31" s="1">
        <v>1</v>
      </c>
      <c r="CF31" s="1">
        <v>2</v>
      </c>
      <c r="CG31" s="1"/>
      <c r="CH31" s="1">
        <v>2</v>
      </c>
      <c r="CI31" s="1">
        <v>3</v>
      </c>
      <c r="CJ31" s="1"/>
      <c r="CK31" s="1">
        <v>2</v>
      </c>
      <c r="CL31" s="1">
        <v>3</v>
      </c>
      <c r="CM31" s="1"/>
      <c r="CN31" s="1">
        <v>2</v>
      </c>
      <c r="CO31" s="1">
        <v>3</v>
      </c>
      <c r="CP31" s="1"/>
      <c r="CQ31" s="1">
        <v>1</v>
      </c>
      <c r="CR31" s="1">
        <v>1</v>
      </c>
      <c r="CS31" s="1"/>
      <c r="CT31" s="1">
        <v>1</v>
      </c>
      <c r="CU31" s="1">
        <v>1</v>
      </c>
      <c r="CV31" s="1"/>
      <c r="CW31" s="1">
        <v>1</v>
      </c>
      <c r="CX31" s="1">
        <v>2</v>
      </c>
      <c r="CY31" s="1"/>
      <c r="CZ31" s="1">
        <v>1</v>
      </c>
      <c r="DA31" s="1">
        <v>1</v>
      </c>
      <c r="DB31" s="1"/>
      <c r="DC31" s="1">
        <v>4</v>
      </c>
      <c r="DD31" s="1">
        <v>3</v>
      </c>
    </row>
    <row r="32" spans="1:108" x14ac:dyDescent="0.25">
      <c r="A32" t="s">
        <v>98</v>
      </c>
      <c r="B32" t="s">
        <v>97</v>
      </c>
      <c r="C32">
        <v>10635</v>
      </c>
      <c r="E32" s="1">
        <v>1</v>
      </c>
      <c r="F32" s="1">
        <v>2</v>
      </c>
      <c r="G32" s="1"/>
      <c r="H32" s="1">
        <v>2</v>
      </c>
      <c r="I32" s="1">
        <v>1</v>
      </c>
      <c r="J32" s="1"/>
      <c r="K32" s="1">
        <v>1</v>
      </c>
      <c r="L32" s="1">
        <v>3</v>
      </c>
      <c r="M32" s="1"/>
      <c r="N32" s="1">
        <v>2</v>
      </c>
      <c r="O32" s="1">
        <v>1</v>
      </c>
      <c r="P32" s="1"/>
      <c r="Q32" s="1">
        <v>2</v>
      </c>
      <c r="R32" s="1">
        <v>2</v>
      </c>
      <c r="S32" s="1"/>
      <c r="T32" s="1">
        <v>3</v>
      </c>
      <c r="U32" s="1">
        <v>2</v>
      </c>
      <c r="V32" s="1"/>
      <c r="W32" s="1">
        <v>3</v>
      </c>
      <c r="X32" s="1">
        <v>1</v>
      </c>
      <c r="Y32" s="1"/>
      <c r="Z32" s="1">
        <v>2</v>
      </c>
      <c r="AA32" s="1">
        <v>1</v>
      </c>
      <c r="AB32" s="1"/>
      <c r="AC32" s="1">
        <v>3</v>
      </c>
      <c r="AD32" s="1">
        <v>2</v>
      </c>
      <c r="AE32" s="1"/>
      <c r="AF32" s="1">
        <v>3</v>
      </c>
      <c r="AG32" s="1">
        <v>2</v>
      </c>
      <c r="AH32" s="1"/>
      <c r="AI32" s="1">
        <v>4</v>
      </c>
      <c r="AJ32" s="1">
        <v>1</v>
      </c>
      <c r="AK32" s="1"/>
      <c r="AL32" s="1">
        <v>2</v>
      </c>
      <c r="AM32" s="1">
        <v>2</v>
      </c>
      <c r="AN32" s="1"/>
      <c r="AO32" s="1">
        <v>4</v>
      </c>
      <c r="AP32" s="1">
        <v>2</v>
      </c>
      <c r="AQ32" s="1"/>
      <c r="AR32" s="1">
        <v>1</v>
      </c>
      <c r="AS32" s="1">
        <v>3</v>
      </c>
      <c r="AT32" s="1"/>
      <c r="AU32" s="1">
        <v>3</v>
      </c>
      <c r="AV32" s="1">
        <v>1</v>
      </c>
      <c r="AW32" s="1"/>
      <c r="AX32" s="1">
        <v>2</v>
      </c>
      <c r="AY32" s="1">
        <v>1</v>
      </c>
      <c r="AZ32" s="1"/>
      <c r="BA32" s="1">
        <v>3</v>
      </c>
      <c r="BB32" s="1">
        <v>3</v>
      </c>
      <c r="BC32" s="1"/>
      <c r="BD32" s="1">
        <v>2</v>
      </c>
      <c r="BE32" s="1">
        <v>1</v>
      </c>
      <c r="BF32" s="1"/>
      <c r="BG32" s="1">
        <v>4</v>
      </c>
      <c r="BH32" s="1">
        <v>3</v>
      </c>
      <c r="BI32" s="1"/>
      <c r="BJ32" s="1">
        <v>4</v>
      </c>
      <c r="BK32" s="1">
        <v>1</v>
      </c>
      <c r="BL32" s="1"/>
      <c r="BM32" s="1">
        <v>2</v>
      </c>
      <c r="BN32" s="1">
        <v>1</v>
      </c>
      <c r="BO32" s="1"/>
      <c r="BP32" s="1">
        <v>1</v>
      </c>
      <c r="BQ32" s="1">
        <v>1</v>
      </c>
      <c r="BR32" s="1"/>
      <c r="BS32" s="1">
        <v>3</v>
      </c>
      <c r="BT32" s="1">
        <v>1</v>
      </c>
      <c r="BU32" s="1"/>
      <c r="BV32" s="1">
        <v>2</v>
      </c>
      <c r="BW32" s="1">
        <v>1</v>
      </c>
      <c r="BX32" s="1"/>
      <c r="BY32" s="1">
        <v>4</v>
      </c>
      <c r="BZ32" s="1">
        <v>4</v>
      </c>
      <c r="CA32" s="1"/>
      <c r="CB32" s="1">
        <v>2</v>
      </c>
      <c r="CC32" s="1">
        <v>1</v>
      </c>
      <c r="CD32" s="1"/>
      <c r="CE32" s="1">
        <v>2</v>
      </c>
      <c r="CF32" s="1">
        <v>1</v>
      </c>
      <c r="CG32" s="1"/>
      <c r="CH32" s="1">
        <v>3</v>
      </c>
      <c r="CI32" s="1">
        <v>3</v>
      </c>
      <c r="CJ32" s="1"/>
      <c r="CK32" s="1">
        <v>1</v>
      </c>
      <c r="CL32" s="1">
        <v>1</v>
      </c>
      <c r="CM32" s="1"/>
      <c r="CN32" s="1">
        <v>4</v>
      </c>
      <c r="CO32" s="1">
        <v>4</v>
      </c>
      <c r="CP32" s="1"/>
      <c r="CQ32" s="1">
        <v>3</v>
      </c>
      <c r="CR32" s="1">
        <v>3</v>
      </c>
      <c r="CS32" s="1"/>
      <c r="CT32" s="1">
        <v>2</v>
      </c>
      <c r="CU32" s="1">
        <v>1</v>
      </c>
      <c r="CV32" s="1"/>
      <c r="CW32" s="1">
        <v>1</v>
      </c>
      <c r="CX32" s="1">
        <v>1</v>
      </c>
      <c r="CY32" s="1"/>
      <c r="CZ32" s="1">
        <v>2</v>
      </c>
      <c r="DA32" s="1">
        <v>1</v>
      </c>
      <c r="DB32" s="1"/>
      <c r="DC32" s="1">
        <v>3</v>
      </c>
      <c r="DD32" s="1">
        <v>1</v>
      </c>
    </row>
    <row r="33" spans="1:108" x14ac:dyDescent="0.25">
      <c r="A33" t="s">
        <v>99</v>
      </c>
      <c r="B33" t="s">
        <v>97</v>
      </c>
      <c r="C33">
        <v>11481</v>
      </c>
      <c r="E33" s="1">
        <v>2</v>
      </c>
      <c r="F33" s="1">
        <v>2</v>
      </c>
      <c r="G33" s="1"/>
      <c r="H33" s="1">
        <v>4</v>
      </c>
      <c r="I33" s="1">
        <v>3</v>
      </c>
      <c r="J33" s="1"/>
      <c r="K33" s="1">
        <v>2</v>
      </c>
      <c r="L33" s="1">
        <v>5</v>
      </c>
      <c r="M33" s="1"/>
      <c r="N33" s="1">
        <v>2</v>
      </c>
      <c r="O33" s="1">
        <v>5</v>
      </c>
      <c r="P33" s="1"/>
      <c r="Q33" s="1">
        <v>2</v>
      </c>
      <c r="R33" s="1">
        <v>5</v>
      </c>
      <c r="S33" s="1"/>
      <c r="T33" s="1">
        <v>4</v>
      </c>
      <c r="U33" s="1">
        <v>4</v>
      </c>
      <c r="V33" s="1"/>
      <c r="W33" s="1">
        <v>2</v>
      </c>
      <c r="X33" s="1">
        <v>5</v>
      </c>
      <c r="Y33" s="1"/>
      <c r="Z33" s="1">
        <v>2</v>
      </c>
      <c r="AA33" s="1">
        <v>2</v>
      </c>
      <c r="AB33" s="1"/>
      <c r="AC33" s="1">
        <v>2</v>
      </c>
      <c r="AD33" s="1">
        <v>4</v>
      </c>
      <c r="AE33" s="1"/>
      <c r="AF33" s="1">
        <v>4</v>
      </c>
      <c r="AG33" s="1">
        <v>3</v>
      </c>
      <c r="AH33" s="1"/>
      <c r="AI33" s="1">
        <v>5</v>
      </c>
      <c r="AJ33" s="1">
        <v>2</v>
      </c>
      <c r="AK33" s="1"/>
      <c r="AL33" s="1">
        <v>2</v>
      </c>
      <c r="AM33" s="1">
        <v>2</v>
      </c>
      <c r="AN33" s="1"/>
      <c r="AO33" s="1">
        <v>4</v>
      </c>
      <c r="AP33" s="1">
        <v>3</v>
      </c>
      <c r="AQ33" s="1"/>
      <c r="AR33" s="1">
        <v>2</v>
      </c>
      <c r="AS33" s="1">
        <v>5</v>
      </c>
      <c r="AT33" s="1"/>
      <c r="AU33" s="1">
        <v>4</v>
      </c>
      <c r="AV33" s="1">
        <v>4</v>
      </c>
      <c r="AW33" s="1"/>
      <c r="AX33" s="1">
        <v>4</v>
      </c>
      <c r="AY33" s="1">
        <v>2</v>
      </c>
      <c r="AZ33" s="1"/>
      <c r="BA33" s="1">
        <v>4</v>
      </c>
      <c r="BB33" s="1">
        <v>4</v>
      </c>
      <c r="BC33" s="1"/>
      <c r="BD33" s="1">
        <v>2</v>
      </c>
      <c r="BE33" s="1">
        <v>2</v>
      </c>
      <c r="BF33" s="1"/>
      <c r="BG33" s="1">
        <v>2</v>
      </c>
      <c r="BH33" s="1">
        <v>4</v>
      </c>
      <c r="BI33" s="1"/>
      <c r="BJ33" s="1">
        <v>3</v>
      </c>
      <c r="BK33" s="1">
        <v>3</v>
      </c>
      <c r="BL33" s="1"/>
      <c r="BM33" s="1">
        <v>2</v>
      </c>
      <c r="BN33" s="1">
        <v>3</v>
      </c>
      <c r="BO33" s="1"/>
      <c r="BP33" s="1">
        <v>2</v>
      </c>
      <c r="BQ33" s="1">
        <v>4</v>
      </c>
      <c r="BR33" s="1"/>
      <c r="BS33" s="1">
        <v>2</v>
      </c>
      <c r="BT33" s="1">
        <v>2</v>
      </c>
      <c r="BU33" s="1"/>
      <c r="BV33" s="1">
        <v>4</v>
      </c>
      <c r="BW33" s="1">
        <v>2</v>
      </c>
      <c r="BX33" s="1"/>
      <c r="BY33" s="1">
        <v>4</v>
      </c>
      <c r="BZ33" s="1">
        <v>4</v>
      </c>
      <c r="CA33" s="1"/>
      <c r="CB33" s="1">
        <v>2</v>
      </c>
      <c r="CC33" s="1">
        <v>4</v>
      </c>
      <c r="CD33" s="1"/>
      <c r="CE33" s="1">
        <v>2</v>
      </c>
      <c r="CF33" s="1">
        <v>4</v>
      </c>
      <c r="CG33" s="1"/>
      <c r="CH33" s="1">
        <v>2</v>
      </c>
      <c r="CI33" s="1">
        <v>5</v>
      </c>
      <c r="CJ33" s="1"/>
      <c r="CK33" s="1">
        <v>2</v>
      </c>
      <c r="CL33" s="1">
        <v>2</v>
      </c>
      <c r="CM33" s="1"/>
      <c r="CN33" s="1">
        <v>4</v>
      </c>
      <c r="CO33" s="1">
        <v>4</v>
      </c>
      <c r="CP33" s="1"/>
      <c r="CQ33" s="1">
        <v>2</v>
      </c>
      <c r="CR33" s="1">
        <v>2</v>
      </c>
      <c r="CS33" s="1"/>
      <c r="CT33" s="1">
        <v>2</v>
      </c>
      <c r="CU33" s="1">
        <v>4</v>
      </c>
      <c r="CV33" s="1"/>
      <c r="CW33" s="1">
        <v>1</v>
      </c>
      <c r="CX33" s="1">
        <v>3</v>
      </c>
      <c r="CY33" s="1"/>
      <c r="CZ33" s="1">
        <v>2</v>
      </c>
      <c r="DA33" s="1">
        <v>3</v>
      </c>
      <c r="DB33" s="1"/>
      <c r="DC33" s="1">
        <v>4</v>
      </c>
      <c r="DD33" s="1">
        <v>2</v>
      </c>
    </row>
    <row r="34" spans="1:108" x14ac:dyDescent="0.25">
      <c r="A34" t="s">
        <v>100</v>
      </c>
      <c r="B34" t="s">
        <v>97</v>
      </c>
      <c r="C34">
        <v>7648</v>
      </c>
      <c r="E34" s="1">
        <v>3</v>
      </c>
      <c r="F34" s="1">
        <v>2</v>
      </c>
      <c r="G34" s="1"/>
      <c r="H34" s="1">
        <v>5</v>
      </c>
      <c r="I34" s="1">
        <v>3</v>
      </c>
      <c r="J34" s="1"/>
      <c r="K34" s="1">
        <v>4</v>
      </c>
      <c r="L34" s="1">
        <v>5</v>
      </c>
      <c r="M34" s="1"/>
      <c r="N34" s="1">
        <v>4</v>
      </c>
      <c r="O34" s="1">
        <v>4</v>
      </c>
      <c r="P34" s="1"/>
      <c r="Q34" s="1">
        <v>3</v>
      </c>
      <c r="R34" s="1">
        <v>4</v>
      </c>
      <c r="S34" s="1"/>
      <c r="T34" s="1">
        <v>5</v>
      </c>
      <c r="U34" s="1">
        <v>5</v>
      </c>
      <c r="V34" s="1"/>
      <c r="W34" s="1">
        <v>4</v>
      </c>
      <c r="X34" s="1">
        <v>5</v>
      </c>
      <c r="Y34" s="1"/>
      <c r="Z34" s="1">
        <v>4</v>
      </c>
      <c r="AA34" s="1">
        <v>1</v>
      </c>
      <c r="AB34" s="1"/>
      <c r="AC34" s="1">
        <v>5</v>
      </c>
      <c r="AD34" s="1">
        <v>3</v>
      </c>
      <c r="AE34" s="1"/>
      <c r="AF34" s="1">
        <v>4</v>
      </c>
      <c r="AG34" s="1">
        <v>3</v>
      </c>
      <c r="AH34" s="1"/>
      <c r="AI34" s="1">
        <v>4</v>
      </c>
      <c r="AJ34" s="1">
        <v>3</v>
      </c>
      <c r="AK34" s="1"/>
      <c r="AL34" s="1">
        <v>3</v>
      </c>
      <c r="AM34" s="1">
        <v>5</v>
      </c>
      <c r="AN34" s="1"/>
      <c r="AO34" s="1">
        <v>5</v>
      </c>
      <c r="AP34" s="1">
        <v>5</v>
      </c>
      <c r="AQ34" s="1"/>
      <c r="AR34" s="1">
        <v>4</v>
      </c>
      <c r="AS34" s="1">
        <v>5</v>
      </c>
      <c r="AT34" s="1"/>
      <c r="AU34" s="1">
        <v>4</v>
      </c>
      <c r="AV34" s="1">
        <v>5</v>
      </c>
      <c r="AW34" s="1"/>
      <c r="AX34" s="1">
        <v>3</v>
      </c>
      <c r="AY34" s="1">
        <v>2</v>
      </c>
      <c r="AZ34" s="1"/>
      <c r="BA34" s="1">
        <v>5</v>
      </c>
      <c r="BB34" s="1">
        <v>5</v>
      </c>
      <c r="BC34" s="1"/>
      <c r="BD34" s="1">
        <v>5</v>
      </c>
      <c r="BE34" s="1">
        <v>5</v>
      </c>
      <c r="BF34" s="1"/>
      <c r="BG34" s="1">
        <v>4</v>
      </c>
      <c r="BH34" s="1">
        <v>5</v>
      </c>
      <c r="BI34" s="1"/>
      <c r="BJ34" s="1">
        <v>4</v>
      </c>
      <c r="BK34" s="1">
        <v>2</v>
      </c>
      <c r="BL34" s="1"/>
      <c r="BM34" s="1">
        <v>4</v>
      </c>
      <c r="BN34" s="1">
        <v>3</v>
      </c>
      <c r="BO34" s="1"/>
      <c r="BP34" s="1">
        <v>5</v>
      </c>
      <c r="BQ34" s="1">
        <v>5</v>
      </c>
      <c r="BR34" s="1"/>
      <c r="BS34" s="1">
        <v>4</v>
      </c>
      <c r="BT34" s="1">
        <v>4</v>
      </c>
      <c r="BU34" s="1"/>
      <c r="BV34" s="1">
        <v>4</v>
      </c>
      <c r="BW34" s="1">
        <v>5</v>
      </c>
      <c r="BX34" s="1"/>
      <c r="BY34" s="1">
        <v>5</v>
      </c>
      <c r="BZ34" s="1">
        <v>4</v>
      </c>
      <c r="CA34" s="1"/>
      <c r="CB34" s="1">
        <v>4</v>
      </c>
      <c r="CC34" s="1">
        <v>1</v>
      </c>
      <c r="CD34" s="1"/>
      <c r="CE34" s="1">
        <v>3</v>
      </c>
      <c r="CF34" s="1">
        <v>3</v>
      </c>
      <c r="CG34" s="1"/>
      <c r="CH34" s="1">
        <v>5</v>
      </c>
      <c r="CI34" s="1">
        <v>5</v>
      </c>
      <c r="CJ34" s="1"/>
      <c r="CK34" s="1">
        <v>2</v>
      </c>
      <c r="CL34" s="1">
        <v>5</v>
      </c>
      <c r="CM34" s="1"/>
      <c r="CN34" s="1">
        <v>5</v>
      </c>
      <c r="CO34" s="1">
        <v>5</v>
      </c>
      <c r="CP34" s="1"/>
      <c r="CQ34" s="1">
        <v>5</v>
      </c>
      <c r="CR34" s="1">
        <v>1</v>
      </c>
      <c r="CS34" s="1"/>
      <c r="CT34" s="1">
        <v>3</v>
      </c>
      <c r="CU34" s="1">
        <v>5</v>
      </c>
      <c r="CV34" s="1"/>
      <c r="CW34" s="1">
        <v>3</v>
      </c>
      <c r="CX34" s="1">
        <v>3</v>
      </c>
      <c r="CY34" s="1"/>
      <c r="CZ34" s="1">
        <v>4</v>
      </c>
      <c r="DA34" s="1">
        <v>4</v>
      </c>
      <c r="DB34" s="1"/>
      <c r="DC34" s="1">
        <v>5</v>
      </c>
      <c r="DD34" s="1">
        <v>5</v>
      </c>
    </row>
    <row r="35" spans="1:108" x14ac:dyDescent="0.25">
      <c r="A35" t="s">
        <v>101</v>
      </c>
      <c r="B35" t="s">
        <v>97</v>
      </c>
      <c r="C35">
        <v>65193</v>
      </c>
      <c r="E35" s="1">
        <v>3</v>
      </c>
      <c r="F35" s="1">
        <v>3</v>
      </c>
      <c r="G35" s="1"/>
      <c r="H35" s="1">
        <v>4</v>
      </c>
      <c r="I35" s="1">
        <v>2</v>
      </c>
      <c r="J35" s="1"/>
      <c r="K35" s="1">
        <v>3</v>
      </c>
      <c r="L35" s="1">
        <v>3</v>
      </c>
      <c r="M35" s="1"/>
      <c r="N35" s="1">
        <v>5</v>
      </c>
      <c r="O35" s="1">
        <v>5</v>
      </c>
      <c r="P35" s="1"/>
      <c r="Q35" s="1">
        <v>3</v>
      </c>
      <c r="R35" s="1">
        <v>5</v>
      </c>
      <c r="S35" s="1"/>
      <c r="T35" s="1">
        <v>3</v>
      </c>
      <c r="U35" s="1">
        <v>3</v>
      </c>
      <c r="V35" s="1"/>
      <c r="W35" s="1">
        <v>4</v>
      </c>
      <c r="X35" s="1">
        <v>3</v>
      </c>
      <c r="Y35" s="1"/>
      <c r="Z35" s="1">
        <v>3</v>
      </c>
      <c r="AA35" s="1">
        <v>1</v>
      </c>
      <c r="AB35" s="1"/>
      <c r="AC35" s="1">
        <v>2</v>
      </c>
      <c r="AD35" s="1">
        <v>4</v>
      </c>
      <c r="AE35" s="1"/>
      <c r="AF35" s="1">
        <v>4</v>
      </c>
      <c r="AG35" s="1">
        <v>4</v>
      </c>
      <c r="AH35" s="1"/>
      <c r="AI35" s="1">
        <v>2</v>
      </c>
      <c r="AJ35" s="1">
        <v>2</v>
      </c>
      <c r="AK35" s="1"/>
      <c r="AL35" s="1">
        <v>2</v>
      </c>
      <c r="AM35" s="1">
        <v>2</v>
      </c>
      <c r="AN35" s="1"/>
      <c r="AO35" s="1">
        <v>4</v>
      </c>
      <c r="AP35" s="1">
        <v>1</v>
      </c>
      <c r="AQ35" s="1"/>
      <c r="AR35" s="1">
        <v>3</v>
      </c>
      <c r="AS35" s="1">
        <v>4</v>
      </c>
      <c r="AT35" s="1"/>
      <c r="AU35" s="1">
        <v>3</v>
      </c>
      <c r="AV35" s="1">
        <v>4</v>
      </c>
      <c r="AW35" s="1"/>
      <c r="AX35" s="1">
        <v>2</v>
      </c>
      <c r="AY35" s="1">
        <v>1</v>
      </c>
      <c r="AZ35" s="1"/>
      <c r="BA35" s="1">
        <v>3</v>
      </c>
      <c r="BB35" s="1">
        <v>2</v>
      </c>
      <c r="BC35" s="1"/>
      <c r="BD35" s="1">
        <v>3</v>
      </c>
      <c r="BE35" s="1">
        <v>1</v>
      </c>
      <c r="BF35" s="1"/>
      <c r="BG35" s="1">
        <v>4</v>
      </c>
      <c r="BH35" s="1">
        <v>3</v>
      </c>
      <c r="BI35" s="1"/>
      <c r="BJ35" s="1">
        <v>3</v>
      </c>
      <c r="BK35" s="1">
        <v>2</v>
      </c>
      <c r="BL35" s="1"/>
      <c r="BM35" s="1">
        <v>2</v>
      </c>
      <c r="BN35" s="1">
        <v>3</v>
      </c>
      <c r="BO35" s="1"/>
      <c r="BP35" s="1">
        <v>4</v>
      </c>
      <c r="BQ35" s="1">
        <v>5</v>
      </c>
      <c r="BR35" s="1"/>
      <c r="BS35" s="1">
        <v>3</v>
      </c>
      <c r="BT35" s="1">
        <v>2</v>
      </c>
      <c r="BU35" s="1"/>
      <c r="BV35" s="1">
        <v>2</v>
      </c>
      <c r="BW35" s="1">
        <v>2</v>
      </c>
      <c r="BX35" s="1"/>
      <c r="BY35" s="1">
        <v>3</v>
      </c>
      <c r="BZ35" s="1">
        <v>3</v>
      </c>
      <c r="CA35" s="1"/>
      <c r="CB35" s="1">
        <v>4</v>
      </c>
      <c r="CC35" s="1">
        <v>3</v>
      </c>
      <c r="CD35" s="1"/>
      <c r="CE35" s="1">
        <v>1</v>
      </c>
      <c r="CF35" s="1">
        <v>1</v>
      </c>
      <c r="CG35" s="1"/>
      <c r="CH35" s="1">
        <v>3</v>
      </c>
      <c r="CI35" s="1">
        <v>3</v>
      </c>
      <c r="CJ35" s="1"/>
      <c r="CK35" s="1">
        <v>2</v>
      </c>
      <c r="CL35" s="1">
        <v>4</v>
      </c>
      <c r="CM35" s="1"/>
      <c r="CN35" s="1">
        <v>3</v>
      </c>
      <c r="CO35" s="1">
        <v>2</v>
      </c>
      <c r="CP35" s="1"/>
      <c r="CQ35" s="1">
        <v>3</v>
      </c>
      <c r="CR35" s="1">
        <v>1</v>
      </c>
      <c r="CS35" s="1"/>
      <c r="CT35" s="1">
        <v>3</v>
      </c>
      <c r="CU35" s="1">
        <v>4</v>
      </c>
      <c r="CV35" s="1"/>
      <c r="CW35" s="1">
        <v>1</v>
      </c>
      <c r="CX35" s="1">
        <v>2</v>
      </c>
      <c r="CY35" s="1"/>
      <c r="CZ35" s="1">
        <v>3</v>
      </c>
      <c r="DA35" s="1">
        <v>3</v>
      </c>
      <c r="DB35" s="1"/>
      <c r="DC35" s="1">
        <v>3</v>
      </c>
      <c r="DD35" s="1">
        <v>5</v>
      </c>
    </row>
    <row r="36" spans="1:108" x14ac:dyDescent="0.25">
      <c r="A36" t="s">
        <v>79</v>
      </c>
      <c r="E36" s="1">
        <f t="shared" ref="E36:F36" si="245">AVERAGE(E31:E35)</f>
        <v>2.6</v>
      </c>
      <c r="F36" s="1">
        <f t="shared" si="245"/>
        <v>2</v>
      </c>
      <c r="G36" s="1"/>
      <c r="H36" s="1">
        <f t="shared" ref="H36:I36" si="246">AVERAGE(H31:H35)</f>
        <v>3.8</v>
      </c>
      <c r="I36" s="1">
        <f t="shared" si="246"/>
        <v>2</v>
      </c>
      <c r="J36" s="1"/>
      <c r="K36" s="1">
        <f t="shared" ref="K36:L36" si="247">AVERAGE(K31:K35)</f>
        <v>2.2000000000000002</v>
      </c>
      <c r="L36" s="1">
        <f t="shared" si="247"/>
        <v>3.6</v>
      </c>
      <c r="M36" s="1"/>
      <c r="N36" s="1">
        <f t="shared" ref="N36:O36" si="248">AVERAGE(N31:N35)</f>
        <v>3.4</v>
      </c>
      <c r="O36" s="1">
        <f t="shared" si="248"/>
        <v>3.4</v>
      </c>
      <c r="P36" s="1"/>
      <c r="Q36" s="1">
        <f t="shared" ref="Q36:R36" si="249">AVERAGE(Q31:Q35)</f>
        <v>2.2000000000000002</v>
      </c>
      <c r="R36" s="1">
        <f t="shared" si="249"/>
        <v>4</v>
      </c>
      <c r="S36" s="1"/>
      <c r="T36" s="1">
        <f t="shared" ref="T36:U36" si="250">AVERAGE(T31:T35)</f>
        <v>3.8</v>
      </c>
      <c r="U36" s="1">
        <f t="shared" si="250"/>
        <v>3.2</v>
      </c>
      <c r="V36" s="1"/>
      <c r="W36" s="1">
        <f t="shared" ref="W36:X36" si="251">AVERAGE(W31:W35)</f>
        <v>3</v>
      </c>
      <c r="X36" s="1">
        <f t="shared" si="251"/>
        <v>3</v>
      </c>
      <c r="Y36" s="1"/>
      <c r="Z36" s="1">
        <f t="shared" ref="Z36:AA36" si="252">AVERAGE(Z31:Z35)</f>
        <v>2.6</v>
      </c>
      <c r="AA36" s="1">
        <f t="shared" si="252"/>
        <v>1.2</v>
      </c>
      <c r="AB36" s="1"/>
      <c r="AC36" s="1">
        <f t="shared" ref="AC36:AD36" si="253">AVERAGE(AC31:AC35)</f>
        <v>2.6</v>
      </c>
      <c r="AD36" s="1">
        <f t="shared" si="253"/>
        <v>3</v>
      </c>
      <c r="AE36" s="1"/>
      <c r="AF36" s="1">
        <f t="shared" ref="AF36:AG36" si="254">AVERAGE(AF31:AF35)</f>
        <v>3.6</v>
      </c>
      <c r="AG36" s="1">
        <f t="shared" si="254"/>
        <v>3.2</v>
      </c>
      <c r="AH36" s="1"/>
      <c r="AI36" s="1">
        <f t="shared" ref="AI36:AJ36" si="255">AVERAGE(AI31:AI35)</f>
        <v>3.4</v>
      </c>
      <c r="AJ36" s="1">
        <f t="shared" si="255"/>
        <v>2</v>
      </c>
      <c r="AK36" s="1"/>
      <c r="AL36" s="1">
        <f t="shared" ref="AL36:AM36" si="256">AVERAGE(AL31:AL35)</f>
        <v>2.2000000000000002</v>
      </c>
      <c r="AM36" s="1">
        <f t="shared" si="256"/>
        <v>2.4</v>
      </c>
      <c r="AN36" s="1"/>
      <c r="AO36" s="1">
        <f t="shared" ref="AO36:AP36" si="257">AVERAGE(AO31:AO35)</f>
        <v>4.2</v>
      </c>
      <c r="AP36" s="1">
        <f t="shared" si="257"/>
        <v>2.6</v>
      </c>
      <c r="AQ36" s="1"/>
      <c r="AR36" s="1">
        <f t="shared" ref="AR36:AS36" si="258">AVERAGE(AR31:AR35)</f>
        <v>2.4</v>
      </c>
      <c r="AS36" s="1">
        <f t="shared" si="258"/>
        <v>3.8</v>
      </c>
      <c r="AT36" s="1"/>
      <c r="AU36" s="1">
        <f t="shared" ref="AU36:AV36" si="259">AVERAGE(AU31:AU35)</f>
        <v>3</v>
      </c>
      <c r="AV36" s="1">
        <f t="shared" si="259"/>
        <v>3.6</v>
      </c>
      <c r="AW36" s="1"/>
      <c r="AX36" s="1">
        <f t="shared" ref="AX36:AY36" si="260">AVERAGE(AX31:AX35)</f>
        <v>2.6</v>
      </c>
      <c r="AY36" s="1">
        <f t="shared" si="260"/>
        <v>1.4</v>
      </c>
      <c r="AZ36" s="1"/>
      <c r="BA36" s="1">
        <f t="shared" ref="BA36:BB36" si="261">AVERAGE(BA31:BA35)</f>
        <v>3.4</v>
      </c>
      <c r="BB36" s="1">
        <f t="shared" si="261"/>
        <v>3.2</v>
      </c>
      <c r="BC36" s="1"/>
      <c r="BD36" s="1">
        <f t="shared" ref="BD36:BE36" si="262">AVERAGE(BD31:BD35)</f>
        <v>2.8</v>
      </c>
      <c r="BE36" s="1">
        <f t="shared" si="262"/>
        <v>2</v>
      </c>
      <c r="BF36" s="1"/>
      <c r="BG36" s="1">
        <f t="shared" ref="BG36:BH36" si="263">AVERAGE(BG31:BG35)</f>
        <v>3</v>
      </c>
      <c r="BH36" s="1">
        <f t="shared" si="263"/>
        <v>3.8</v>
      </c>
      <c r="BI36" s="1"/>
      <c r="BJ36" s="1">
        <f t="shared" ref="BJ36:BK36" si="264">AVERAGE(BJ31:BJ35)</f>
        <v>3.2</v>
      </c>
      <c r="BK36" s="1">
        <f t="shared" si="264"/>
        <v>2</v>
      </c>
      <c r="BL36" s="1"/>
      <c r="BM36" s="1">
        <f t="shared" ref="BM36:BN36" si="265">AVERAGE(BM31:BM35)</f>
        <v>2.4</v>
      </c>
      <c r="BN36" s="1">
        <f t="shared" si="265"/>
        <v>2.2000000000000002</v>
      </c>
      <c r="BO36" s="1"/>
      <c r="BP36" s="1">
        <f t="shared" ref="BP36:BQ36" si="266">AVERAGE(BP31:BP35)</f>
        <v>2.6</v>
      </c>
      <c r="BQ36" s="1">
        <f t="shared" si="266"/>
        <v>3.2</v>
      </c>
      <c r="BR36" s="1"/>
      <c r="BS36" s="1">
        <f t="shared" ref="BS36:BT36" si="267">AVERAGE(BS31:BS35)</f>
        <v>3.2</v>
      </c>
      <c r="BT36" s="1">
        <f t="shared" si="267"/>
        <v>2.4</v>
      </c>
      <c r="BU36" s="1"/>
      <c r="BV36" s="1">
        <f t="shared" ref="BV36:BW36" si="268">AVERAGE(BV31:BV35)</f>
        <v>2.8</v>
      </c>
      <c r="BW36" s="1">
        <f t="shared" si="268"/>
        <v>2.2000000000000002</v>
      </c>
      <c r="BX36" s="1"/>
      <c r="BY36" s="1">
        <f t="shared" ref="BY36:BZ36" si="269">AVERAGE(BY31:BY35)</f>
        <v>3.8</v>
      </c>
      <c r="BZ36" s="1">
        <f t="shared" si="269"/>
        <v>3.8</v>
      </c>
      <c r="CA36" s="1"/>
      <c r="CB36" s="1">
        <f t="shared" ref="CB36:CC36" si="270">AVERAGE(CB31:CB35)</f>
        <v>2.6</v>
      </c>
      <c r="CC36" s="1">
        <f t="shared" si="270"/>
        <v>2.2000000000000002</v>
      </c>
      <c r="CD36" s="1"/>
      <c r="CE36" s="1">
        <f t="shared" ref="CE36:CF36" si="271">AVERAGE(CE31:CE35)</f>
        <v>1.8</v>
      </c>
      <c r="CF36" s="1">
        <f t="shared" si="271"/>
        <v>2.2000000000000002</v>
      </c>
      <c r="CG36" s="1"/>
      <c r="CH36" s="1">
        <f t="shared" ref="CH36:CI36" si="272">AVERAGE(CH31:CH35)</f>
        <v>3</v>
      </c>
      <c r="CI36" s="1">
        <f t="shared" si="272"/>
        <v>3.8</v>
      </c>
      <c r="CJ36" s="1"/>
      <c r="CK36" s="1">
        <f t="shared" ref="CK36:CL36" si="273">AVERAGE(CK31:CK35)</f>
        <v>1.8</v>
      </c>
      <c r="CL36" s="1">
        <f t="shared" si="273"/>
        <v>3</v>
      </c>
      <c r="CM36" s="1"/>
      <c r="CN36" s="1">
        <f t="shared" ref="CN36:CO36" si="274">AVERAGE(CN31:CN35)</f>
        <v>3.6</v>
      </c>
      <c r="CO36" s="1">
        <f t="shared" si="274"/>
        <v>3.6</v>
      </c>
      <c r="CP36" s="1"/>
      <c r="CQ36" s="1">
        <f t="shared" ref="CQ36:CR36" si="275">AVERAGE(CQ31:CQ35)</f>
        <v>2.8</v>
      </c>
      <c r="CR36" s="1">
        <f t="shared" si="275"/>
        <v>1.6</v>
      </c>
      <c r="CS36" s="1"/>
      <c r="CT36" s="1">
        <f t="shared" ref="CT36:CU36" si="276">AVERAGE(CT31:CT35)</f>
        <v>2.2000000000000002</v>
      </c>
      <c r="CU36" s="1">
        <f t="shared" si="276"/>
        <v>3</v>
      </c>
      <c r="CV36" s="1"/>
      <c r="CW36" s="1">
        <f t="shared" ref="CW36:CX36" si="277">AVERAGE(CW31:CW35)</f>
        <v>1.4</v>
      </c>
      <c r="CX36" s="1">
        <f t="shared" si="277"/>
        <v>2.2000000000000002</v>
      </c>
      <c r="CY36" s="1"/>
      <c r="CZ36" s="1">
        <f t="shared" ref="CZ36:DA36" si="278">AVERAGE(CZ31:CZ35)</f>
        <v>2.4</v>
      </c>
      <c r="DA36" s="1">
        <f t="shared" si="278"/>
        <v>2.4</v>
      </c>
      <c r="DB36" s="1"/>
      <c r="DC36" s="1">
        <f t="shared" ref="DC36:DD36" si="279">AVERAGE(DC31:DC35)</f>
        <v>3.8</v>
      </c>
      <c r="DD36" s="1">
        <f t="shared" si="279"/>
        <v>3.2</v>
      </c>
    </row>
    <row r="37" spans="1:108" x14ac:dyDescent="0.25"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</row>
    <row r="38" spans="1:108" x14ac:dyDescent="0.25">
      <c r="A38" t="s">
        <v>102</v>
      </c>
      <c r="E38" s="1">
        <f t="shared" ref="E38:F38" si="280">AVERAGE(E7,E11,E15,E18,E22,E25,E29,E36)</f>
        <v>2.7625000000000002</v>
      </c>
      <c r="F38" s="1">
        <f t="shared" si="280"/>
        <v>1.6875</v>
      </c>
      <c r="G38" s="1"/>
      <c r="H38" s="1">
        <f t="shared" ref="H38:I38" si="281">AVERAGE(H7,H11,H15,H18,H22,H25,H29,H36)</f>
        <v>3.6625000000000001</v>
      </c>
      <c r="I38" s="1">
        <f t="shared" si="281"/>
        <v>2.3125</v>
      </c>
      <c r="J38" s="1"/>
      <c r="K38" s="1">
        <f t="shared" ref="K38:L38" si="282">AVERAGE(K7,K11,K15,K18,K22,K25,K29,K36)</f>
        <v>3.2749999999999999</v>
      </c>
      <c r="L38" s="1">
        <f t="shared" si="282"/>
        <v>3.8875000000000002</v>
      </c>
      <c r="M38" s="1"/>
      <c r="N38" s="1">
        <f t="shared" ref="N38:O38" si="283">AVERAGE(N7,N11,N15,N18,N22,N25,N29,N36)</f>
        <v>4.1124999999999998</v>
      </c>
      <c r="O38" s="1">
        <f t="shared" si="283"/>
        <v>3.55</v>
      </c>
      <c r="P38" s="1"/>
      <c r="Q38" s="1">
        <f t="shared" ref="Q38:R38" si="284">AVERAGE(Q7,Q11,Q15,Q18,Q22,Q25,Q29,Q36)</f>
        <v>2.8374999999999999</v>
      </c>
      <c r="R38" s="1">
        <f t="shared" si="284"/>
        <v>3.875</v>
      </c>
      <c r="S38" s="1"/>
      <c r="T38" s="1">
        <f t="shared" ref="T38:U38" si="285">AVERAGE(T7,T11,T15,T18,T22,T25,T29,T36)</f>
        <v>4.0374999999999996</v>
      </c>
      <c r="U38" s="1">
        <f t="shared" si="285"/>
        <v>3.9</v>
      </c>
      <c r="V38" s="1"/>
      <c r="W38" s="1">
        <f t="shared" ref="W38:X38" si="286">AVERAGE(W7,W11,W15,W18,W22,W25,W29,W36)</f>
        <v>2.8125</v>
      </c>
      <c r="X38" s="1">
        <f t="shared" si="286"/>
        <v>2.75</v>
      </c>
      <c r="Y38" s="1"/>
      <c r="Z38" s="1">
        <f t="shared" ref="Z38:AA38" si="287">AVERAGE(Z7,Z11,Z15,Z18,Z22,Z25,Z29,Z36)</f>
        <v>2.95</v>
      </c>
      <c r="AA38" s="1">
        <f t="shared" si="287"/>
        <v>1.5874999999999999</v>
      </c>
      <c r="AB38" s="1"/>
      <c r="AC38" s="1">
        <f t="shared" ref="AC38:AD38" si="288">AVERAGE(AC7,AC11,AC15,AC18,AC22,AC25,AC29,AC36)</f>
        <v>2.3250000000000002</v>
      </c>
      <c r="AD38" s="1">
        <f t="shared" si="288"/>
        <v>3.75</v>
      </c>
      <c r="AE38" s="1"/>
      <c r="AF38" s="1">
        <f t="shared" ref="AF38:AG38" si="289">AVERAGE(AF7,AF11,AF15,AF18,AF22,AF25,AF29,AF36)</f>
        <v>3.6375000000000002</v>
      </c>
      <c r="AG38" s="1">
        <f t="shared" si="289"/>
        <v>3.15</v>
      </c>
      <c r="AH38" s="1"/>
      <c r="AI38" s="1">
        <f t="shared" ref="AI38:AJ38" si="290">AVERAGE(AI7,AI11,AI15,AI18,AI22,AI25,AI29,AI36)</f>
        <v>3.8</v>
      </c>
      <c r="AJ38" s="1">
        <f t="shared" si="290"/>
        <v>2.25</v>
      </c>
      <c r="AK38" s="1"/>
      <c r="AL38" s="1">
        <f t="shared" ref="AL38:AM38" si="291">AVERAGE(AL7,AL11,AL15,AL18,AL22,AL25,AL29,AL36)</f>
        <v>3.2124999999999999</v>
      </c>
      <c r="AM38" s="1">
        <f t="shared" si="291"/>
        <v>2.4874999999999998</v>
      </c>
      <c r="AN38" s="1"/>
      <c r="AO38" s="1">
        <f t="shared" ref="AO38:AP38" si="292">AVERAGE(AO7,AO11,AO15,AO18,AO22,AO25,AO29,AO36)</f>
        <v>4.0250000000000004</v>
      </c>
      <c r="AP38" s="1">
        <f t="shared" si="292"/>
        <v>2.7</v>
      </c>
      <c r="AQ38" s="1"/>
      <c r="AR38" s="1">
        <f t="shared" ref="AR38:AS38" si="293">AVERAGE(AR7,AR11,AR15,AR18,AR22,AR25,AR29,AR36)</f>
        <v>2.9249999999999998</v>
      </c>
      <c r="AS38" s="1">
        <f t="shared" si="293"/>
        <v>4.0374999999999996</v>
      </c>
      <c r="AT38" s="1"/>
      <c r="AU38" s="1">
        <f t="shared" ref="AU38:AV38" si="294">AVERAGE(AU7,AU11,AU15,AU18,AU22,AU25,AU29,AU36)</f>
        <v>3.3125</v>
      </c>
      <c r="AV38" s="1">
        <f t="shared" si="294"/>
        <v>4.0750000000000002</v>
      </c>
      <c r="AW38" s="1"/>
      <c r="AX38" s="1">
        <f t="shared" ref="AX38:AY38" si="295">AVERAGE(AX7,AX11,AX15,AX18,AX22,AX25,AX29,AX36)</f>
        <v>2.2625000000000002</v>
      </c>
      <c r="AY38" s="1">
        <f t="shared" si="295"/>
        <v>1.4875</v>
      </c>
      <c r="AZ38" s="1"/>
      <c r="BA38" s="1">
        <f t="shared" ref="BA38:BB38" si="296">AVERAGE(BA7,BA11,BA15,BA18,BA22,BA25,BA29,BA36)</f>
        <v>3.8</v>
      </c>
      <c r="BB38" s="1">
        <f t="shared" si="296"/>
        <v>4.1500000000000004</v>
      </c>
      <c r="BC38" s="1"/>
      <c r="BD38" s="1">
        <f t="shared" ref="BD38:BE38" si="297">AVERAGE(BD7,BD11,BD15,BD18,BD22,BD25,BD29,BD36)</f>
        <v>3.1625000000000001</v>
      </c>
      <c r="BE38" s="1">
        <f t="shared" si="297"/>
        <v>2.5625</v>
      </c>
      <c r="BF38" s="1"/>
      <c r="BG38" s="1">
        <f t="shared" ref="BG38:BH38" si="298">AVERAGE(BG7,BG11,BG15,BG18,BG22,BG25,BG29,BG36)</f>
        <v>3.4375</v>
      </c>
      <c r="BH38" s="1">
        <f t="shared" si="298"/>
        <v>4.0374999999999996</v>
      </c>
      <c r="BI38" s="1"/>
      <c r="BJ38" s="1">
        <f t="shared" ref="BJ38:BK38" si="299">AVERAGE(BJ7,BJ11,BJ15,BJ18,BJ22,BJ25,BJ29,BJ36)</f>
        <v>3.0874999999999999</v>
      </c>
      <c r="BK38" s="1">
        <f t="shared" si="299"/>
        <v>2.9375</v>
      </c>
      <c r="BL38" s="1"/>
      <c r="BM38" s="1">
        <f t="shared" ref="BM38:BN38" si="300">AVERAGE(BM7,BM11,BM15,BM18,BM22,BM25,BM29,BM36)</f>
        <v>3.3624999999999998</v>
      </c>
      <c r="BN38" s="1">
        <f t="shared" si="300"/>
        <v>2.5874999999999999</v>
      </c>
      <c r="BO38" s="1"/>
      <c r="BP38" s="1">
        <f t="shared" ref="BP38:BQ38" si="301">AVERAGE(BP7,BP11,BP15,BP18,BP22,BP25,BP29,BP36)</f>
        <v>3.1375000000000002</v>
      </c>
      <c r="BQ38" s="1">
        <f t="shared" si="301"/>
        <v>3.7124999999999999</v>
      </c>
      <c r="BR38" s="1"/>
      <c r="BS38" s="1">
        <f t="shared" ref="BS38:BT38" si="302">AVERAGE(BS7,BS11,BS15,BS18,BS22,BS25,BS29,BS36)</f>
        <v>3.7749999999999999</v>
      </c>
      <c r="BT38" s="1">
        <f t="shared" si="302"/>
        <v>3.3</v>
      </c>
      <c r="BU38" s="1"/>
      <c r="BV38" s="1">
        <f t="shared" ref="BV38:BW38" si="303">AVERAGE(BV7,BV11,BV15,BV18,BV22,BV25,BV29,BV36)</f>
        <v>3.7875000000000001</v>
      </c>
      <c r="BW38" s="1">
        <f t="shared" si="303"/>
        <v>2.8374999999999999</v>
      </c>
      <c r="BX38" s="1"/>
      <c r="BY38" s="1">
        <f t="shared" ref="BY38:BZ38" si="304">AVERAGE(BY7,BY11,BY15,BY18,BY22,BY25,BY29,BY36)</f>
        <v>3.2250000000000001</v>
      </c>
      <c r="BZ38" s="1">
        <f t="shared" si="304"/>
        <v>3.2875000000000001</v>
      </c>
      <c r="CA38" s="1"/>
      <c r="CB38" s="1">
        <f t="shared" ref="CB38:CC38" si="305">AVERAGE(CB7,CB11,CB15,CB18,CB22,CB25,CB29,CB36)</f>
        <v>3.0750000000000002</v>
      </c>
      <c r="CC38" s="1">
        <f t="shared" si="305"/>
        <v>3.15</v>
      </c>
      <c r="CD38" s="1"/>
      <c r="CE38" s="1">
        <f t="shared" ref="CE38:CF38" si="306">AVERAGE(CE7,CE11,CE15,CE18,CE22,CE25,CE29,CE36)</f>
        <v>2.0375000000000001</v>
      </c>
      <c r="CF38" s="1">
        <f t="shared" si="306"/>
        <v>2.3374999999999999</v>
      </c>
      <c r="CG38" s="1"/>
      <c r="CH38" s="1">
        <f t="shared" ref="CH38:CI38" si="307">AVERAGE(CH7,CH11,CH15,CH18,CH22,CH25,CH29,CH36)</f>
        <v>3.3125</v>
      </c>
      <c r="CI38" s="1">
        <f t="shared" si="307"/>
        <v>3.35</v>
      </c>
      <c r="CJ38" s="1"/>
      <c r="CK38" s="1">
        <f t="shared" ref="CK38:CL38" si="308">AVERAGE(CK7,CK11,CK15,CK18,CK22,CK25,CK29,CK36)</f>
        <v>2.1</v>
      </c>
      <c r="CL38" s="1">
        <f t="shared" si="308"/>
        <v>3.25</v>
      </c>
      <c r="CM38" s="1"/>
      <c r="CN38" s="1">
        <f t="shared" ref="CN38:CO38" si="309">AVERAGE(CN7,CN11,CN15,CN18,CN22,CN25,CN29,CN36)</f>
        <v>3.3875000000000002</v>
      </c>
      <c r="CO38" s="1">
        <f t="shared" si="309"/>
        <v>4.0125000000000002</v>
      </c>
      <c r="CP38" s="1"/>
      <c r="CQ38" s="1">
        <f t="shared" ref="CQ38:CR38" si="310">AVERAGE(CQ7,CQ11,CQ15,CQ18,CQ22,CQ25,CQ29,CQ36)</f>
        <v>3.1625000000000001</v>
      </c>
      <c r="CR38" s="1">
        <f t="shared" si="310"/>
        <v>1.1375</v>
      </c>
      <c r="CS38" s="1"/>
      <c r="CT38" s="1">
        <f t="shared" ref="CT38:CU38" si="311">AVERAGE(CT7,CT11,CT15,CT18,CT22,CT25,CT29,CT36)</f>
        <v>3.15</v>
      </c>
      <c r="CU38" s="1">
        <f t="shared" si="311"/>
        <v>2.25</v>
      </c>
      <c r="CV38" s="1"/>
      <c r="CW38" s="1">
        <f t="shared" ref="CW38:CX38" si="312">AVERAGE(CW7,CW11,CW15,CW18,CW22,CW25,CW29,CW36)</f>
        <v>2.1124999999999998</v>
      </c>
      <c r="CX38" s="1">
        <f t="shared" si="312"/>
        <v>2.8374999999999999</v>
      </c>
      <c r="CY38" s="1"/>
      <c r="CZ38" s="1">
        <f t="shared" ref="CZ38:DA38" si="313">AVERAGE(CZ7,CZ11,CZ15,CZ18,CZ22,CZ25,CZ29,CZ36)</f>
        <v>2.7374999999999998</v>
      </c>
      <c r="DA38" s="1">
        <f t="shared" si="313"/>
        <v>2.9249999999999998</v>
      </c>
      <c r="DB38" s="1"/>
      <c r="DC38" s="1">
        <f t="shared" ref="DC38:DD38" si="314">AVERAGE(DC7,DC11,DC15,DC18,DC22,DC25,DC29,DC36)</f>
        <v>3.7250000000000001</v>
      </c>
      <c r="DD38" s="1">
        <f t="shared" si="314"/>
        <v>3.5874999999999999</v>
      </c>
    </row>
    <row r="39" spans="1:108" x14ac:dyDescent="0.25">
      <c r="A39" t="s">
        <v>103</v>
      </c>
      <c r="E39" s="1">
        <f>AVERAGE(E7,E11,E15,E18,E22,E29,E36)</f>
        <v>2.4428571428571431</v>
      </c>
      <c r="F39" s="1">
        <f>F38</f>
        <v>1.6875</v>
      </c>
      <c r="G39" s="1"/>
      <c r="H39" s="1">
        <f>AVERAGE(H7,H11,H15,H18,H22,H29,H36)</f>
        <v>3.7571428571428571</v>
      </c>
      <c r="I39" s="1">
        <f t="shared" ref="I39" si="315">I38</f>
        <v>2.3125</v>
      </c>
      <c r="J39" s="1"/>
      <c r="K39" s="1">
        <f>AVERAGE(K7,K11,K15,K18,K22,K29,K36)</f>
        <v>3.0285714285714285</v>
      </c>
      <c r="L39" s="1">
        <f t="shared" ref="L39" si="316">L38</f>
        <v>3.8875000000000002</v>
      </c>
      <c r="M39" s="1"/>
      <c r="N39" s="1">
        <f>AVERAGE(N7,N11,N15,N18,N22,N29,N36)</f>
        <v>3.9857142857142853</v>
      </c>
      <c r="O39" s="1">
        <f t="shared" ref="O39" si="317">O38</f>
        <v>3.55</v>
      </c>
      <c r="P39" s="1"/>
      <c r="Q39" s="1">
        <f>AVERAGE(Q7,Q11,Q15,Q18,Q22,Q29,Q36)</f>
        <v>2.6714285714285713</v>
      </c>
      <c r="R39" s="1">
        <f t="shared" ref="R39" si="318">R38</f>
        <v>3.875</v>
      </c>
      <c r="S39" s="1"/>
      <c r="T39" s="1">
        <f>AVERAGE(T7,T11,T15,T18,T22,T29,T36)</f>
        <v>3.9</v>
      </c>
      <c r="U39" s="1">
        <f t="shared" ref="U39" si="319">U38</f>
        <v>3.9</v>
      </c>
      <c r="V39" s="1"/>
      <c r="W39" s="1">
        <f>AVERAGE(W7,W11,W15,W18,W22,W29,W36)</f>
        <v>2.9285714285714284</v>
      </c>
      <c r="X39" s="1">
        <f t="shared" ref="X39" si="320">X38</f>
        <v>2.75</v>
      </c>
      <c r="Y39" s="1"/>
      <c r="Z39" s="1">
        <f>AVERAGE(Z7,Z11,Z15,Z18,Z22,Z29,Z36)</f>
        <v>2.8000000000000003</v>
      </c>
      <c r="AA39" s="1">
        <f t="shared" ref="AA39" si="321">AA38</f>
        <v>1.5874999999999999</v>
      </c>
      <c r="AB39" s="1"/>
      <c r="AC39" s="1">
        <f>AVERAGE(AC7,AC11,AC15,AC18,AC22,AC29,AC36)</f>
        <v>2.3714285714285714</v>
      </c>
      <c r="AD39" s="1">
        <f t="shared" ref="AD39" si="322">AD38</f>
        <v>3.75</v>
      </c>
      <c r="AE39" s="1"/>
      <c r="AF39" s="1">
        <f>AVERAGE(AF7,AF11,AF15,AF18,AF22,AF29,AF36)</f>
        <v>3.4428571428571431</v>
      </c>
      <c r="AG39" s="1">
        <f t="shared" ref="AG39" si="323">AG38</f>
        <v>3.15</v>
      </c>
      <c r="AH39" s="1"/>
      <c r="AI39" s="1">
        <f>AVERAGE(AI7,AI11,AI15,AI18,AI22,AI29,AI36)</f>
        <v>3.6285714285714286</v>
      </c>
      <c r="AJ39" s="1">
        <f t="shared" ref="AJ39" si="324">AJ38</f>
        <v>2.25</v>
      </c>
      <c r="AK39" s="1"/>
      <c r="AL39" s="1">
        <f>AVERAGE(AL7,AL11,AL15,AL18,AL22,AL29,AL36)</f>
        <v>3.1</v>
      </c>
      <c r="AM39" s="1">
        <f t="shared" ref="AM39" si="325">AM38</f>
        <v>2.4874999999999998</v>
      </c>
      <c r="AN39" s="1"/>
      <c r="AO39" s="1">
        <f>AVERAGE(AO7,AO11,AO15,AO18,AO22,AO29,AO36)</f>
        <v>4.0285714285714285</v>
      </c>
      <c r="AP39" s="1">
        <f t="shared" ref="AP39" si="326">AP38</f>
        <v>2.7</v>
      </c>
      <c r="AQ39" s="1"/>
      <c r="AR39" s="1">
        <f>AVERAGE(AR7,AR11,AR15,AR18,AR22,AR29,AR36)</f>
        <v>2.7714285714285714</v>
      </c>
      <c r="AS39" s="1">
        <f t="shared" ref="AS39" si="327">AS38</f>
        <v>4.0374999999999996</v>
      </c>
      <c r="AT39" s="1"/>
      <c r="AU39" s="1">
        <f>AVERAGE(AU7,AU11,AU15,AU18,AU22,AU29,AU36)</f>
        <v>3.0714285714285716</v>
      </c>
      <c r="AV39" s="1">
        <f t="shared" ref="AV39" si="328">AV38</f>
        <v>4.0750000000000002</v>
      </c>
      <c r="AW39" s="1"/>
      <c r="AX39" s="1">
        <f>AVERAGE(AX7,AX11,AX15,AX18,AX22,AX29,AX36)</f>
        <v>2.0142857142857142</v>
      </c>
      <c r="AY39" s="1">
        <f t="shared" ref="AY39" si="329">AY38</f>
        <v>1.4875</v>
      </c>
      <c r="AZ39" s="1"/>
      <c r="BA39" s="1">
        <f>AVERAGE(BA7,BA11,BA15,BA18,BA22,BA29,BA36)</f>
        <v>3.6285714285714286</v>
      </c>
      <c r="BB39" s="1">
        <f t="shared" ref="BB39" si="330">BB38</f>
        <v>4.1500000000000004</v>
      </c>
      <c r="BC39" s="1"/>
      <c r="BD39" s="1">
        <f>AVERAGE(BD7,BD11,BD15,BD18,BD22,BD29,BD36)</f>
        <v>2.9</v>
      </c>
      <c r="BE39" s="1">
        <f t="shared" ref="BE39" si="331">BE38</f>
        <v>2.5625</v>
      </c>
      <c r="BF39" s="1"/>
      <c r="BG39" s="1">
        <f>AVERAGE(BG7,BG11,BG15,BG18,BG22,BG29,BG36)</f>
        <v>3.5</v>
      </c>
      <c r="BH39" s="1">
        <f t="shared" ref="BH39" si="332">BH38</f>
        <v>4.0374999999999996</v>
      </c>
      <c r="BI39" s="1"/>
      <c r="BJ39" s="1">
        <f>AVERAGE(BJ7,BJ11,BJ15,BJ18,BJ22,BJ29,BJ36)</f>
        <v>3.2428571428571429</v>
      </c>
      <c r="BK39" s="1">
        <f t="shared" ref="BK39" si="333">BK38</f>
        <v>2.9375</v>
      </c>
      <c r="BL39" s="1"/>
      <c r="BM39" s="1">
        <f>AVERAGE(BM7,BM11,BM15,BM18,BM22,BM29,BM36)</f>
        <v>3.2714285714285714</v>
      </c>
      <c r="BN39" s="1">
        <f t="shared" ref="BN39" si="334">BN38</f>
        <v>2.5874999999999999</v>
      </c>
      <c r="BO39" s="1"/>
      <c r="BP39" s="1">
        <f>AVERAGE(BP7,BP11,BP15,BP18,BP22,BP29,BP36)</f>
        <v>3.0142857142857147</v>
      </c>
      <c r="BQ39" s="1">
        <f t="shared" ref="BQ39" si="335">BQ38</f>
        <v>3.7124999999999999</v>
      </c>
      <c r="BR39" s="1"/>
      <c r="BS39" s="1">
        <f>AVERAGE(BS7,BS11,BS15,BS18,BS22,BS29,BS36)</f>
        <v>3.7428571428571429</v>
      </c>
      <c r="BT39" s="1">
        <f t="shared" ref="BT39" si="336">BT38</f>
        <v>3.3</v>
      </c>
      <c r="BU39" s="1"/>
      <c r="BV39" s="1">
        <f>AVERAGE(BV7,BV11,BV15,BV18,BV22,BV29,BV36)</f>
        <v>3.6142857142857143</v>
      </c>
      <c r="BW39" s="1">
        <f t="shared" ref="BW39" si="337">BW38</f>
        <v>2.8374999999999999</v>
      </c>
      <c r="BX39" s="1"/>
      <c r="BY39" s="1">
        <f>AVERAGE(BY7,BY11,BY15,BY18,BY22,BY29,BY36)</f>
        <v>3.1142857142857143</v>
      </c>
      <c r="BZ39" s="1">
        <f t="shared" ref="BZ39" si="338">BZ38</f>
        <v>3.2875000000000001</v>
      </c>
      <c r="CA39" s="1"/>
      <c r="CB39" s="1">
        <f>AVERAGE(CB7,CB11,CB15,CB18,CB22,CB29,CB36)</f>
        <v>3.0857142857142859</v>
      </c>
      <c r="CC39" s="1">
        <f t="shared" ref="CC39" si="339">CC38</f>
        <v>3.15</v>
      </c>
      <c r="CD39" s="1"/>
      <c r="CE39" s="1">
        <f>AVERAGE(CE7,CE11,CE15,CE18,CE22,CE29,CE36)</f>
        <v>2.0428571428571431</v>
      </c>
      <c r="CF39" s="1">
        <f t="shared" ref="CF39" si="340">CF38</f>
        <v>2.3374999999999999</v>
      </c>
      <c r="CG39" s="1"/>
      <c r="CH39" s="1">
        <f>AVERAGE(CH7,CH11,CH15,CH18,CH22,CH29,CH36)</f>
        <v>3.0714285714285716</v>
      </c>
      <c r="CI39" s="1">
        <f t="shared" ref="CI39" si="341">CI38</f>
        <v>3.35</v>
      </c>
      <c r="CJ39" s="1"/>
      <c r="CK39" s="1">
        <f>AVERAGE(CK7,CK11,CK15,CK18,CK22,CK29,CK36)</f>
        <v>2.1142857142857143</v>
      </c>
      <c r="CL39" s="1">
        <f t="shared" ref="CL39" si="342">CL38</f>
        <v>3.25</v>
      </c>
      <c r="CM39" s="1"/>
      <c r="CN39" s="1">
        <f>AVERAGE(CN7,CN11,CN15,CN18,CN22,CN29,CN36)</f>
        <v>3.5857142857142859</v>
      </c>
      <c r="CO39" s="1">
        <f t="shared" ref="CO39" si="343">CO38</f>
        <v>4.0125000000000002</v>
      </c>
      <c r="CP39" s="1"/>
      <c r="CQ39" s="1">
        <f>AVERAGE(CQ7,CQ11,CQ15,CQ18,CQ22,CQ29,CQ36)</f>
        <v>3.0428571428571431</v>
      </c>
      <c r="CR39" s="1">
        <f t="shared" ref="CR39" si="344">CR38</f>
        <v>1.1375</v>
      </c>
      <c r="CS39" s="1"/>
      <c r="CT39" s="1">
        <f>AVERAGE(CT7,CT11,CT15,CT18,CT22,CT29,CT36)</f>
        <v>3.1714285714285713</v>
      </c>
      <c r="CU39" s="1">
        <f t="shared" ref="CU39" si="345">CU38</f>
        <v>2.25</v>
      </c>
      <c r="CV39" s="1"/>
      <c r="CW39" s="1">
        <f>AVERAGE(CW7,CW11,CW15,CW18,CW22,CW29,CW36)</f>
        <v>2.1285714285714286</v>
      </c>
      <c r="CX39" s="1">
        <f t="shared" ref="CX39" si="346">CX38</f>
        <v>2.8374999999999999</v>
      </c>
      <c r="CY39" s="1"/>
      <c r="CZ39" s="1">
        <f>AVERAGE(CZ7,CZ11,CZ15,CZ18,CZ22,CZ29,CZ36)</f>
        <v>2.6999999999999997</v>
      </c>
      <c r="DA39" s="1">
        <f t="shared" ref="DA39" si="347">DA38</f>
        <v>2.9249999999999998</v>
      </c>
      <c r="DB39" s="1"/>
      <c r="DC39" s="1">
        <f>AVERAGE(DC7,DC11,DC15,DC18,DC22,DC29,DC36)</f>
        <v>3.6857142857142859</v>
      </c>
      <c r="DD39" s="1">
        <f t="shared" ref="DD39" si="348">DD38</f>
        <v>3.5874999999999999</v>
      </c>
    </row>
    <row r="40" spans="1:108" x14ac:dyDescent="0.25"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</row>
    <row r="41" spans="1:108" x14ac:dyDescent="0.25">
      <c r="A41" t="s">
        <v>104</v>
      </c>
      <c r="B41" t="s">
        <v>105</v>
      </c>
      <c r="C41">
        <v>826</v>
      </c>
      <c r="E41" s="1"/>
      <c r="F41" s="1"/>
      <c r="G41" s="1"/>
      <c r="H41" s="1"/>
      <c r="I41" s="1"/>
      <c r="J41" s="1"/>
      <c r="K41" s="1"/>
      <c r="L41" s="1"/>
      <c r="M41" s="1"/>
      <c r="N41" s="1">
        <v>4</v>
      </c>
      <c r="O41" s="1">
        <v>4</v>
      </c>
      <c r="P41" s="1"/>
      <c r="Q41" s="1"/>
      <c r="R41" s="1"/>
      <c r="S41" s="1"/>
      <c r="T41" s="1">
        <v>4</v>
      </c>
      <c r="U41" s="1">
        <v>1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>
        <v>2</v>
      </c>
      <c r="AV41" s="1">
        <v>4</v>
      </c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>
        <v>5</v>
      </c>
      <c r="BQ41" s="1">
        <v>5</v>
      </c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>
        <v>2</v>
      </c>
      <c r="CI41" s="1">
        <v>1</v>
      </c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>
        <v>1</v>
      </c>
      <c r="CX41" s="1">
        <v>1</v>
      </c>
      <c r="CY41" s="1"/>
      <c r="CZ41" s="1"/>
      <c r="DA41" s="1"/>
      <c r="DB41" s="1"/>
      <c r="DC41" s="1">
        <v>4</v>
      </c>
      <c r="DD41" s="1">
        <v>2</v>
      </c>
    </row>
    <row r="42" spans="1:108" x14ac:dyDescent="0.25">
      <c r="A42" t="s">
        <v>106</v>
      </c>
      <c r="B42" t="s">
        <v>105</v>
      </c>
      <c r="C42">
        <v>852</v>
      </c>
      <c r="E42" s="1">
        <v>2</v>
      </c>
      <c r="F42" s="1">
        <v>1</v>
      </c>
      <c r="G42" s="1"/>
      <c r="H42" s="1"/>
      <c r="I42" s="1"/>
      <c r="J42" s="1"/>
      <c r="K42" s="1">
        <v>3</v>
      </c>
      <c r="L42" s="1">
        <v>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>
        <v>2</v>
      </c>
      <c r="X42" s="1">
        <v>1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>
        <v>2</v>
      </c>
      <c r="AM42" s="1">
        <v>4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>
        <v>4</v>
      </c>
      <c r="AY42" s="1">
        <v>1</v>
      </c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>
        <v>5</v>
      </c>
      <c r="BN42" s="1">
        <v>1</v>
      </c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>
        <v>3</v>
      </c>
      <c r="CO42" s="1">
        <v>2</v>
      </c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</row>
    <row r="43" spans="1:108" x14ac:dyDescent="0.25">
      <c r="A43" t="s">
        <v>107</v>
      </c>
      <c r="B43" t="s">
        <v>105</v>
      </c>
      <c r="C43">
        <v>1374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>
        <v>5</v>
      </c>
      <c r="AA43" s="1">
        <v>1</v>
      </c>
      <c r="AB43" s="1"/>
      <c r="AC43" s="1">
        <v>1</v>
      </c>
      <c r="AD43" s="1">
        <v>5</v>
      </c>
      <c r="AE43" s="1"/>
      <c r="AF43" s="1">
        <v>4</v>
      </c>
      <c r="AG43" s="1">
        <v>2</v>
      </c>
      <c r="AH43" s="1"/>
      <c r="AI43" s="1">
        <v>4</v>
      </c>
      <c r="AJ43" s="1">
        <v>4</v>
      </c>
      <c r="AK43" s="1"/>
      <c r="AL43" s="1">
        <v>4</v>
      </c>
      <c r="AM43" s="1">
        <v>3</v>
      </c>
      <c r="AN43" s="1"/>
      <c r="AO43" s="1"/>
      <c r="AP43" s="1"/>
      <c r="AQ43" s="1"/>
      <c r="AR43" s="1">
        <v>5</v>
      </c>
      <c r="AS43" s="1">
        <v>5</v>
      </c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>
        <v>3</v>
      </c>
      <c r="CL43" s="1">
        <v>5</v>
      </c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</row>
    <row r="44" spans="1:108" x14ac:dyDescent="0.25">
      <c r="A44" t="s">
        <v>108</v>
      </c>
      <c r="B44" t="s">
        <v>105</v>
      </c>
      <c r="C44">
        <v>420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>
        <v>2</v>
      </c>
      <c r="R44" s="1">
        <v>3</v>
      </c>
      <c r="S44" s="1"/>
      <c r="T44" s="1"/>
      <c r="U44" s="1"/>
      <c r="V44" s="1"/>
      <c r="W44" s="1"/>
      <c r="X44" s="1"/>
      <c r="Y44" s="1"/>
      <c r="Z44" s="1">
        <v>2</v>
      </c>
      <c r="AA44" s="1">
        <v>2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>
        <v>3</v>
      </c>
      <c r="BB44" s="1">
        <v>4</v>
      </c>
      <c r="BC44" s="1"/>
      <c r="BD44" s="1">
        <v>3</v>
      </c>
      <c r="BE44" s="1">
        <v>2</v>
      </c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>
        <v>3</v>
      </c>
      <c r="CC44" s="1">
        <v>2</v>
      </c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>
        <v>2</v>
      </c>
      <c r="CR44" s="1">
        <v>2</v>
      </c>
      <c r="CS44" s="1"/>
      <c r="CT44" s="1">
        <v>3</v>
      </c>
      <c r="CU44" s="1">
        <v>1</v>
      </c>
      <c r="CV44" s="1"/>
      <c r="CW44" s="1"/>
      <c r="CX44" s="1"/>
      <c r="CY44" s="1"/>
      <c r="CZ44" s="1"/>
      <c r="DA44" s="1"/>
      <c r="DB44" s="1"/>
      <c r="DC44" s="1"/>
      <c r="DD44" s="1"/>
    </row>
    <row r="45" spans="1:108" x14ac:dyDescent="0.25">
      <c r="A45" t="s">
        <v>109</v>
      </c>
      <c r="B45" t="s">
        <v>105</v>
      </c>
      <c r="C45">
        <v>600</v>
      </c>
      <c r="E45" s="1"/>
      <c r="F45" s="1"/>
      <c r="G45" s="1"/>
      <c r="H45" s="1"/>
      <c r="I45" s="1"/>
      <c r="J45" s="1"/>
      <c r="K45" s="1">
        <v>1</v>
      </c>
      <c r="L45" s="1">
        <v>1</v>
      </c>
      <c r="M45" s="1"/>
      <c r="N45" s="1"/>
      <c r="O45" s="1"/>
      <c r="P45" s="1"/>
      <c r="Q45" s="1">
        <v>1</v>
      </c>
      <c r="R45" s="1">
        <v>2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>
        <v>1</v>
      </c>
      <c r="BE45" s="1">
        <v>3</v>
      </c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>
        <v>1</v>
      </c>
      <c r="BT45" s="1">
        <v>2</v>
      </c>
      <c r="BU45" s="1"/>
      <c r="BV45" s="1"/>
      <c r="BW45" s="1"/>
      <c r="BX45" s="1"/>
      <c r="BY45" s="1">
        <v>1</v>
      </c>
      <c r="BZ45" s="1">
        <v>3</v>
      </c>
      <c r="CA45" s="1"/>
      <c r="CB45" s="1"/>
      <c r="CC45" s="1"/>
      <c r="CD45" s="1"/>
      <c r="CE45" s="1">
        <v>1</v>
      </c>
      <c r="CF45" s="1">
        <v>1</v>
      </c>
      <c r="CG45" s="1"/>
      <c r="CH45" s="1">
        <v>1</v>
      </c>
      <c r="CI45" s="1">
        <v>1</v>
      </c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</row>
    <row r="46" spans="1:108" x14ac:dyDescent="0.25">
      <c r="A46" t="s">
        <v>110</v>
      </c>
      <c r="B46" t="s">
        <v>105</v>
      </c>
      <c r="C46">
        <v>642</v>
      </c>
      <c r="E46" s="1"/>
      <c r="F46" s="1"/>
      <c r="G46" s="1"/>
      <c r="H46" s="1"/>
      <c r="I46" s="1"/>
      <c r="J46" s="1"/>
      <c r="K46" s="1">
        <v>3</v>
      </c>
      <c r="L46" s="1">
        <v>2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>
        <v>4</v>
      </c>
      <c r="BB46" s="1">
        <v>4</v>
      </c>
      <c r="BC46" s="1"/>
      <c r="BD46" s="1"/>
      <c r="BE46" s="1"/>
      <c r="BF46" s="1"/>
      <c r="BG46" s="1">
        <v>4</v>
      </c>
      <c r="BH46" s="1">
        <v>5</v>
      </c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>
        <v>3</v>
      </c>
      <c r="CO46" s="1">
        <v>2</v>
      </c>
      <c r="CP46" s="1"/>
      <c r="CQ46" s="1"/>
      <c r="CR46" s="1"/>
      <c r="CS46" s="1"/>
      <c r="CT46" s="1">
        <v>2</v>
      </c>
      <c r="CU46" s="1">
        <v>1</v>
      </c>
      <c r="CV46" s="1"/>
      <c r="CW46" s="1">
        <v>1</v>
      </c>
      <c r="CX46" s="1">
        <v>3</v>
      </c>
      <c r="CY46" s="1"/>
      <c r="CZ46" s="1"/>
      <c r="DA46" s="1"/>
      <c r="DB46" s="1"/>
      <c r="DC46" s="1">
        <v>5</v>
      </c>
      <c r="DD46" s="1">
        <v>4</v>
      </c>
    </row>
    <row r="47" spans="1:108" x14ac:dyDescent="0.25">
      <c r="A47" t="s">
        <v>111</v>
      </c>
      <c r="B47" t="s">
        <v>105</v>
      </c>
      <c r="C47">
        <v>691</v>
      </c>
      <c r="E47" s="1"/>
      <c r="F47" s="1"/>
      <c r="G47" s="1"/>
      <c r="H47" s="1"/>
      <c r="I47" s="1"/>
      <c r="J47" s="1"/>
      <c r="K47" s="1"/>
      <c r="L47" s="1"/>
      <c r="M47" s="1"/>
      <c r="N47" s="1">
        <v>5</v>
      </c>
      <c r="O47" s="1">
        <v>5</v>
      </c>
      <c r="P47" s="1"/>
      <c r="Q47" s="1"/>
      <c r="R47" s="1"/>
      <c r="S47" s="1"/>
      <c r="T47" s="1">
        <v>1</v>
      </c>
      <c r="U47" s="1">
        <v>1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>
        <v>5</v>
      </c>
      <c r="AS47" s="1">
        <v>3</v>
      </c>
      <c r="AT47" s="1"/>
      <c r="AU47" s="1"/>
      <c r="AV47" s="1"/>
      <c r="AW47" s="1"/>
      <c r="AX47" s="1">
        <v>4</v>
      </c>
      <c r="AY47" s="1">
        <v>2</v>
      </c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>
        <v>5</v>
      </c>
      <c r="BW47" s="1">
        <v>5</v>
      </c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>
        <v>3</v>
      </c>
      <c r="CL47" s="1">
        <v>3</v>
      </c>
      <c r="CM47" s="1"/>
      <c r="CN47" s="1"/>
      <c r="CO47" s="1"/>
      <c r="CP47" s="1"/>
      <c r="CQ47" s="1">
        <v>5</v>
      </c>
      <c r="CR47" s="1">
        <v>2</v>
      </c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</row>
    <row r="48" spans="1:108" x14ac:dyDescent="0.25">
      <c r="A48" t="s">
        <v>112</v>
      </c>
      <c r="B48" t="s">
        <v>105</v>
      </c>
      <c r="C48">
        <v>742</v>
      </c>
      <c r="E48" s="1"/>
      <c r="F48" s="1"/>
      <c r="G48" s="1"/>
      <c r="H48" s="1">
        <v>3</v>
      </c>
      <c r="I48" s="1">
        <v>2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>
        <v>1</v>
      </c>
      <c r="X48" s="1">
        <v>1</v>
      </c>
      <c r="Y48" s="1"/>
      <c r="Z48" s="1">
        <v>4</v>
      </c>
      <c r="AA48" s="1">
        <v>1</v>
      </c>
      <c r="AB48" s="1"/>
      <c r="AC48" s="1"/>
      <c r="AD48" s="1"/>
      <c r="AE48" s="1"/>
      <c r="AF48" s="1">
        <v>4</v>
      </c>
      <c r="AG48" s="1">
        <v>2</v>
      </c>
      <c r="AH48" s="1"/>
      <c r="AI48" s="1"/>
      <c r="AJ48" s="1"/>
      <c r="AK48" s="1"/>
      <c r="AL48" s="1">
        <v>1</v>
      </c>
      <c r="AM48" s="1">
        <v>4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>
        <v>4</v>
      </c>
      <c r="BB48" s="1">
        <v>4</v>
      </c>
      <c r="BC48" s="1"/>
      <c r="BD48" s="1">
        <v>2</v>
      </c>
      <c r="BE48" s="1">
        <v>2</v>
      </c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</row>
    <row r="49" spans="1:108" x14ac:dyDescent="0.25">
      <c r="A49" t="s">
        <v>113</v>
      </c>
      <c r="B49" t="s">
        <v>105</v>
      </c>
      <c r="C49">
        <v>811</v>
      </c>
      <c r="E49" s="1">
        <v>1</v>
      </c>
      <c r="F49" s="1">
        <v>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>
        <v>2</v>
      </c>
      <c r="R49" s="1">
        <v>5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>
        <v>3</v>
      </c>
      <c r="AP49" s="1">
        <v>5</v>
      </c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>
        <v>3</v>
      </c>
      <c r="BK49" s="1">
        <v>3</v>
      </c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>
        <v>1</v>
      </c>
      <c r="CI49" s="1">
        <v>4</v>
      </c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>
        <v>1</v>
      </c>
      <c r="CX49" s="1">
        <v>3</v>
      </c>
      <c r="CY49" s="1"/>
      <c r="CZ49" s="1">
        <v>2</v>
      </c>
      <c r="DA49" s="1">
        <v>5</v>
      </c>
      <c r="DB49" s="1"/>
      <c r="DC49" s="1"/>
      <c r="DD49" s="1"/>
    </row>
    <row r="50" spans="1:108" x14ac:dyDescent="0.25">
      <c r="A50" t="s">
        <v>114</v>
      </c>
      <c r="B50" t="s">
        <v>105</v>
      </c>
      <c r="C50">
        <v>621</v>
      </c>
      <c r="E50" s="1">
        <v>4</v>
      </c>
      <c r="F50" s="1">
        <v>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>
        <v>5</v>
      </c>
      <c r="AJ50" s="1">
        <v>2</v>
      </c>
      <c r="AK50" s="1"/>
      <c r="AL50" s="1"/>
      <c r="AM50" s="1"/>
      <c r="AN50" s="1"/>
      <c r="AO50" s="1"/>
      <c r="AP50" s="1"/>
      <c r="AQ50" s="1"/>
      <c r="AR50" s="1">
        <v>5</v>
      </c>
      <c r="AS50" s="1">
        <v>4</v>
      </c>
      <c r="AT50" s="1"/>
      <c r="AU50" s="1"/>
      <c r="AV50" s="1"/>
      <c r="AW50" s="1"/>
      <c r="AX50" s="1">
        <v>3</v>
      </c>
      <c r="AY50" s="1">
        <v>1</v>
      </c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>
        <v>4</v>
      </c>
      <c r="BN50" s="1">
        <v>2</v>
      </c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>
        <v>4</v>
      </c>
      <c r="BZ50" s="1">
        <v>4</v>
      </c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>
        <v>3</v>
      </c>
      <c r="CR50" s="1">
        <v>1</v>
      </c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</row>
    <row r="51" spans="1:108" x14ac:dyDescent="0.25">
      <c r="A51" t="s">
        <v>115</v>
      </c>
      <c r="B51" t="s">
        <v>105</v>
      </c>
      <c r="C51">
        <v>862</v>
      </c>
      <c r="E51" s="1">
        <v>3</v>
      </c>
      <c r="F51" s="1">
        <v>1</v>
      </c>
      <c r="G51" s="1"/>
      <c r="H51" s="1">
        <v>4</v>
      </c>
      <c r="I51" s="1">
        <v>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>
        <v>5</v>
      </c>
      <c r="U51" s="1">
        <v>3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>
        <v>3</v>
      </c>
      <c r="AV51" s="1">
        <v>4</v>
      </c>
      <c r="AW51" s="1"/>
      <c r="AX51" s="1">
        <v>3</v>
      </c>
      <c r="AY51" s="1">
        <v>3</v>
      </c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>
        <v>2</v>
      </c>
      <c r="BK51" s="1">
        <v>3</v>
      </c>
      <c r="BL51" s="1"/>
      <c r="BM51" s="1">
        <v>3</v>
      </c>
      <c r="BN51" s="1">
        <v>2</v>
      </c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</row>
    <row r="52" spans="1:108" x14ac:dyDescent="0.25">
      <c r="A52" t="s">
        <v>116</v>
      </c>
      <c r="B52" t="s">
        <v>105</v>
      </c>
      <c r="C52">
        <v>868</v>
      </c>
      <c r="E52" s="1"/>
      <c r="F52" s="1"/>
      <c r="G52" s="1"/>
      <c r="H52" s="1"/>
      <c r="I52" s="1"/>
      <c r="J52" s="1"/>
      <c r="K52" s="1"/>
      <c r="L52" s="1"/>
      <c r="M52" s="1"/>
      <c r="N52" s="1">
        <v>4</v>
      </c>
      <c r="O52" s="1">
        <v>4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>
        <v>4</v>
      </c>
      <c r="AP52" s="1">
        <v>1</v>
      </c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>
        <v>4</v>
      </c>
      <c r="BQ52" s="1">
        <v>4</v>
      </c>
      <c r="BR52" s="1"/>
      <c r="BS52" s="1"/>
      <c r="BT52" s="1"/>
      <c r="BU52" s="1"/>
      <c r="BV52" s="1">
        <v>3</v>
      </c>
      <c r="BW52" s="1">
        <v>3</v>
      </c>
      <c r="BX52" s="1"/>
      <c r="BY52" s="1"/>
      <c r="BZ52" s="1"/>
      <c r="CA52" s="1"/>
      <c r="CB52" s="1">
        <v>4</v>
      </c>
      <c r="CC52" s="1">
        <v>1</v>
      </c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>
        <v>4</v>
      </c>
      <c r="CR52" s="1">
        <v>2</v>
      </c>
      <c r="CS52" s="1"/>
      <c r="CT52" s="1"/>
      <c r="CU52" s="1"/>
      <c r="CV52" s="1"/>
      <c r="CW52" s="1"/>
      <c r="CX52" s="1"/>
      <c r="CY52" s="1"/>
      <c r="CZ52" s="1">
        <v>1</v>
      </c>
      <c r="DA52" s="1">
        <v>3</v>
      </c>
      <c r="DB52" s="1"/>
      <c r="DC52" s="1"/>
      <c r="DD52" s="1"/>
    </row>
    <row r="53" spans="1:108" x14ac:dyDescent="0.25">
      <c r="A53" t="s">
        <v>117</v>
      </c>
      <c r="B53" t="s">
        <v>105</v>
      </c>
      <c r="C53">
        <v>425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>
        <v>3</v>
      </c>
      <c r="AJ53" s="1">
        <v>3</v>
      </c>
      <c r="AK53" s="1"/>
      <c r="AL53" s="1"/>
      <c r="AM53" s="1"/>
      <c r="AN53" s="1"/>
      <c r="AO53" s="1"/>
      <c r="AP53" s="1"/>
      <c r="AQ53" s="1"/>
      <c r="AR53" s="1">
        <v>5</v>
      </c>
      <c r="AS53" s="1">
        <v>1</v>
      </c>
      <c r="AT53" s="1"/>
      <c r="AU53" s="1">
        <v>4</v>
      </c>
      <c r="AV53" s="1">
        <v>3</v>
      </c>
      <c r="AW53" s="1"/>
      <c r="AX53" s="1"/>
      <c r="AY53" s="1"/>
      <c r="AZ53" s="1"/>
      <c r="BA53" s="1"/>
      <c r="BB53" s="1"/>
      <c r="BC53" s="1"/>
      <c r="BD53" s="1">
        <v>4</v>
      </c>
      <c r="BE53" s="1">
        <v>4</v>
      </c>
      <c r="BF53" s="1"/>
      <c r="BG53" s="1"/>
      <c r="BH53" s="1"/>
      <c r="BI53" s="1"/>
      <c r="BJ53" s="1">
        <v>4</v>
      </c>
      <c r="BK53" s="1">
        <v>1</v>
      </c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>
        <v>2</v>
      </c>
      <c r="CI53" s="1">
        <v>1</v>
      </c>
      <c r="CJ53" s="1"/>
      <c r="CK53" s="1">
        <v>1</v>
      </c>
      <c r="CL53" s="1">
        <v>3</v>
      </c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</row>
    <row r="54" spans="1:108" x14ac:dyDescent="0.25">
      <c r="A54" t="s">
        <v>118</v>
      </c>
      <c r="B54" t="s">
        <v>105</v>
      </c>
      <c r="C54">
        <v>1090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>
        <v>3</v>
      </c>
      <c r="AD54" s="1">
        <v>5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>
        <v>4</v>
      </c>
      <c r="AV54" s="1">
        <v>4</v>
      </c>
      <c r="AW54" s="1"/>
      <c r="AX54" s="1">
        <v>2</v>
      </c>
      <c r="AY54" s="1">
        <v>2</v>
      </c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>
        <v>4</v>
      </c>
      <c r="BN54" s="1">
        <v>2</v>
      </c>
      <c r="BO54" s="1"/>
      <c r="BP54" s="1"/>
      <c r="BQ54" s="1"/>
      <c r="BR54" s="1"/>
      <c r="BS54" s="1"/>
      <c r="BT54" s="1"/>
      <c r="BU54" s="1"/>
      <c r="BV54" s="1">
        <v>3</v>
      </c>
      <c r="BW54" s="1">
        <v>4</v>
      </c>
      <c r="BX54" s="1"/>
      <c r="BY54" s="1"/>
      <c r="BZ54" s="1"/>
      <c r="CA54" s="1"/>
      <c r="CB54" s="1"/>
      <c r="CC54" s="1"/>
      <c r="CD54" s="1"/>
      <c r="CE54" s="1">
        <v>1</v>
      </c>
      <c r="CF54" s="1">
        <v>2</v>
      </c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>
        <v>3</v>
      </c>
      <c r="DD54" s="1">
        <v>4</v>
      </c>
    </row>
    <row r="55" spans="1:108" x14ac:dyDescent="0.25">
      <c r="A55" t="s">
        <v>119</v>
      </c>
      <c r="B55" t="s">
        <v>105</v>
      </c>
      <c r="C55">
        <v>1235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>
        <v>4</v>
      </c>
      <c r="U55" s="1">
        <v>4</v>
      </c>
      <c r="V55" s="1"/>
      <c r="W55" s="1">
        <v>3</v>
      </c>
      <c r="X55" s="1">
        <v>4</v>
      </c>
      <c r="Y55" s="1"/>
      <c r="Z55" s="1"/>
      <c r="AA55" s="1"/>
      <c r="AB55" s="1"/>
      <c r="AC55" s="1"/>
      <c r="AD55" s="1"/>
      <c r="AE55" s="1"/>
      <c r="AF55" s="1">
        <v>3</v>
      </c>
      <c r="AG55" s="1">
        <v>3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>
        <v>4</v>
      </c>
      <c r="AV55" s="1">
        <v>4</v>
      </c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>
        <v>3</v>
      </c>
      <c r="BN55" s="1">
        <v>3</v>
      </c>
      <c r="BO55" s="1"/>
      <c r="BP55" s="1">
        <v>4</v>
      </c>
      <c r="BQ55" s="1">
        <v>3</v>
      </c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>
        <v>2</v>
      </c>
      <c r="DA55" s="1">
        <v>2</v>
      </c>
      <c r="DB55" s="1"/>
      <c r="DC55" s="1"/>
      <c r="DD55" s="1"/>
    </row>
    <row r="56" spans="1:108" x14ac:dyDescent="0.25">
      <c r="A56" t="s">
        <v>120</v>
      </c>
      <c r="B56" t="s">
        <v>105</v>
      </c>
      <c r="C56">
        <v>1148</v>
      </c>
      <c r="E56" s="1"/>
      <c r="F56" s="1"/>
      <c r="G56" s="1"/>
      <c r="H56" s="1">
        <v>2</v>
      </c>
      <c r="I56" s="1">
        <v>2</v>
      </c>
      <c r="J56" s="1"/>
      <c r="K56" s="1"/>
      <c r="L56" s="1"/>
      <c r="M56" s="1"/>
      <c r="N56" s="1">
        <v>4</v>
      </c>
      <c r="O56" s="1">
        <v>4</v>
      </c>
      <c r="P56" s="1"/>
      <c r="Q56" s="1"/>
      <c r="R56" s="1"/>
      <c r="S56" s="1"/>
      <c r="T56" s="1"/>
      <c r="U56" s="1"/>
      <c r="V56" s="1"/>
      <c r="W56" s="1">
        <v>1</v>
      </c>
      <c r="X56" s="1">
        <v>1</v>
      </c>
      <c r="Y56" s="1"/>
      <c r="Z56" s="1"/>
      <c r="AA56" s="1"/>
      <c r="AB56" s="1"/>
      <c r="AC56" s="1">
        <v>1</v>
      </c>
      <c r="AD56" s="1">
        <v>5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>
        <v>3</v>
      </c>
      <c r="AV56" s="1">
        <v>3</v>
      </c>
      <c r="AW56" s="1"/>
      <c r="AX56" s="1"/>
      <c r="AY56" s="1"/>
      <c r="AZ56" s="1"/>
      <c r="BA56" s="1"/>
      <c r="BB56" s="1"/>
      <c r="BC56" s="1"/>
      <c r="BD56" s="1">
        <v>2</v>
      </c>
      <c r="BE56" s="1">
        <v>2</v>
      </c>
      <c r="BF56" s="1"/>
      <c r="BG56" s="1">
        <v>3</v>
      </c>
      <c r="BH56" s="1">
        <v>4</v>
      </c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</row>
    <row r="57" spans="1:108" x14ac:dyDescent="0.25">
      <c r="A57" t="s">
        <v>121</v>
      </c>
      <c r="B57" t="s">
        <v>105</v>
      </c>
      <c r="C57">
        <v>1199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>
        <v>4</v>
      </c>
      <c r="AG57" s="1">
        <v>4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>
        <v>3</v>
      </c>
      <c r="BB57" s="1">
        <v>3</v>
      </c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>
        <v>3</v>
      </c>
      <c r="BQ57" s="1">
        <v>4</v>
      </c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>
        <v>4</v>
      </c>
      <c r="CC57" s="1">
        <v>2</v>
      </c>
      <c r="CD57" s="1"/>
      <c r="CE57" s="1">
        <v>2</v>
      </c>
      <c r="CF57" s="1">
        <v>3</v>
      </c>
      <c r="CG57" s="1"/>
      <c r="CH57" s="1">
        <v>4</v>
      </c>
      <c r="CI57" s="1">
        <v>4</v>
      </c>
      <c r="CJ57" s="1"/>
      <c r="CK57" s="1"/>
      <c r="CL57" s="1"/>
      <c r="CM57" s="1"/>
      <c r="CN57" s="1">
        <v>4</v>
      </c>
      <c r="CO57" s="1">
        <v>4</v>
      </c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</row>
    <row r="58" spans="1:108" x14ac:dyDescent="0.25">
      <c r="A58" t="s">
        <v>122</v>
      </c>
      <c r="B58" t="s">
        <v>105</v>
      </c>
      <c r="C58">
        <v>1281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>
        <v>5</v>
      </c>
      <c r="AJ58" s="1">
        <v>5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>
        <v>2</v>
      </c>
      <c r="BH58" s="1">
        <v>5</v>
      </c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>
        <v>3</v>
      </c>
      <c r="BT58" s="1">
        <v>2</v>
      </c>
      <c r="BU58" s="1"/>
      <c r="BV58" s="1"/>
      <c r="BW58" s="1"/>
      <c r="BX58" s="1"/>
      <c r="BY58" s="1">
        <v>2</v>
      </c>
      <c r="BZ58" s="1">
        <v>3</v>
      </c>
      <c r="CA58" s="1"/>
      <c r="CB58" s="1">
        <v>4</v>
      </c>
      <c r="CC58" s="1">
        <v>3</v>
      </c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>
        <v>3</v>
      </c>
      <c r="CO58" s="1">
        <v>2</v>
      </c>
      <c r="CP58" s="1"/>
      <c r="CQ58" s="1"/>
      <c r="CR58" s="1"/>
      <c r="CS58" s="1"/>
      <c r="CT58" s="1">
        <v>3</v>
      </c>
      <c r="CU58" s="1">
        <v>1</v>
      </c>
      <c r="CV58" s="1"/>
      <c r="CW58" s="1"/>
      <c r="CX58" s="1"/>
      <c r="CY58" s="1"/>
      <c r="CZ58" s="1"/>
      <c r="DA58" s="1"/>
      <c r="DB58" s="1"/>
      <c r="DC58" s="1"/>
      <c r="DD58" s="1"/>
    </row>
    <row r="59" spans="1:108" x14ac:dyDescent="0.25">
      <c r="A59" t="s">
        <v>123</v>
      </c>
      <c r="B59" t="s">
        <v>105</v>
      </c>
      <c r="C59">
        <v>1120</v>
      </c>
      <c r="E59" s="1"/>
      <c r="F59" s="1"/>
      <c r="G59" s="1"/>
      <c r="H59" s="1">
        <v>3</v>
      </c>
      <c r="I59" s="1">
        <v>1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>
        <v>2</v>
      </c>
      <c r="AJ59" s="1">
        <v>3</v>
      </c>
      <c r="AK59" s="1"/>
      <c r="AL59" s="1"/>
      <c r="AM59" s="1"/>
      <c r="AN59" s="1"/>
      <c r="AO59" s="1"/>
      <c r="AP59" s="1"/>
      <c r="AQ59" s="1"/>
      <c r="AR59" s="1">
        <v>2</v>
      </c>
      <c r="AS59" s="1">
        <v>4</v>
      </c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>
        <v>3</v>
      </c>
      <c r="BN59" s="1">
        <v>3</v>
      </c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>
        <v>1</v>
      </c>
      <c r="CI59" s="1">
        <v>2</v>
      </c>
      <c r="CJ59" s="1"/>
      <c r="CK59" s="1">
        <v>2</v>
      </c>
      <c r="CL59" s="1">
        <v>3</v>
      </c>
      <c r="CM59" s="1"/>
      <c r="CN59" s="1">
        <v>3</v>
      </c>
      <c r="CO59" s="1">
        <v>3</v>
      </c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</row>
    <row r="60" spans="1:108" x14ac:dyDescent="0.25">
      <c r="A60" t="s">
        <v>124</v>
      </c>
      <c r="B60" t="s">
        <v>105</v>
      </c>
      <c r="C60">
        <v>1215</v>
      </c>
      <c r="E60" s="1"/>
      <c r="F60" s="1"/>
      <c r="G60" s="1"/>
      <c r="H60" s="1"/>
      <c r="I60" s="1"/>
      <c r="J60" s="1"/>
      <c r="K60" s="1">
        <v>3</v>
      </c>
      <c r="L60" s="1">
        <v>2</v>
      </c>
      <c r="M60" s="1"/>
      <c r="N60" s="1"/>
      <c r="O60" s="1"/>
      <c r="P60" s="1"/>
      <c r="Q60" s="1">
        <v>3</v>
      </c>
      <c r="R60" s="1">
        <v>3</v>
      </c>
      <c r="S60" s="1"/>
      <c r="T60" s="1">
        <v>4</v>
      </c>
      <c r="U60" s="1">
        <v>3</v>
      </c>
      <c r="V60" s="1"/>
      <c r="W60" s="1"/>
      <c r="X60" s="1"/>
      <c r="Y60" s="1"/>
      <c r="Z60" s="1">
        <v>1</v>
      </c>
      <c r="AA60" s="1">
        <v>2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>
        <v>3</v>
      </c>
      <c r="CU60" s="1">
        <v>2</v>
      </c>
      <c r="CV60" s="1"/>
      <c r="CW60" s="1">
        <v>3</v>
      </c>
      <c r="CX60" s="1">
        <v>3</v>
      </c>
      <c r="CY60" s="1"/>
      <c r="CZ60" s="1"/>
      <c r="DA60" s="1"/>
      <c r="DB60" s="1"/>
      <c r="DC60" s="1">
        <v>2</v>
      </c>
      <c r="DD60" s="1">
        <v>3</v>
      </c>
    </row>
    <row r="61" spans="1:108" x14ac:dyDescent="0.25">
      <c r="A61" t="s">
        <v>125</v>
      </c>
      <c r="B61" t="s">
        <v>105</v>
      </c>
      <c r="C61">
        <v>1352</v>
      </c>
      <c r="E61" s="1"/>
      <c r="F61" s="1"/>
      <c r="G61" s="1"/>
      <c r="H61" s="1"/>
      <c r="I61" s="1"/>
      <c r="J61" s="1"/>
      <c r="K61" s="1"/>
      <c r="L61" s="1"/>
      <c r="M61" s="1"/>
      <c r="N61" s="1">
        <v>3</v>
      </c>
      <c r="O61" s="1">
        <v>1</v>
      </c>
      <c r="P61" s="1"/>
      <c r="Q61" s="1"/>
      <c r="R61" s="1"/>
      <c r="S61" s="1"/>
      <c r="T61" s="1"/>
      <c r="U61" s="1"/>
      <c r="V61" s="1"/>
      <c r="W61" s="1">
        <v>2</v>
      </c>
      <c r="X61" s="1">
        <v>2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>
        <v>4</v>
      </c>
      <c r="AM61" s="1">
        <v>1</v>
      </c>
      <c r="AN61" s="1"/>
      <c r="AO61" s="1"/>
      <c r="AP61" s="1"/>
      <c r="AQ61" s="1"/>
      <c r="AR61" s="1">
        <v>2</v>
      </c>
      <c r="AS61" s="1">
        <v>1</v>
      </c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>
        <v>2</v>
      </c>
      <c r="BK61" s="1">
        <v>3</v>
      </c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>
        <v>2</v>
      </c>
      <c r="CI61" s="1">
        <v>4</v>
      </c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>
        <v>2</v>
      </c>
      <c r="DD61" s="1">
        <v>3</v>
      </c>
    </row>
    <row r="62" spans="1:108" x14ac:dyDescent="0.25">
      <c r="A62" t="s">
        <v>126</v>
      </c>
      <c r="B62" t="s">
        <v>105</v>
      </c>
      <c r="C62">
        <v>1424</v>
      </c>
      <c r="E62" s="1"/>
      <c r="F62" s="1"/>
      <c r="G62" s="1"/>
      <c r="H62" s="1"/>
      <c r="I62" s="1"/>
      <c r="J62" s="1"/>
      <c r="K62" s="1">
        <v>4</v>
      </c>
      <c r="L62" s="1">
        <v>3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>
        <v>4</v>
      </c>
      <c r="AP62" s="1">
        <v>3</v>
      </c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>
        <v>5</v>
      </c>
      <c r="BT62" s="1">
        <v>4</v>
      </c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>
        <v>2</v>
      </c>
      <c r="CF62" s="1">
        <v>4</v>
      </c>
      <c r="CG62" s="1"/>
      <c r="CH62" s="1"/>
      <c r="CI62" s="1"/>
      <c r="CJ62" s="1"/>
      <c r="CK62" s="1">
        <v>3</v>
      </c>
      <c r="CL62" s="1">
        <v>3</v>
      </c>
      <c r="CM62" s="1"/>
      <c r="CN62" s="1">
        <v>4</v>
      </c>
      <c r="CO62" s="1">
        <v>5</v>
      </c>
      <c r="CP62" s="1"/>
      <c r="CQ62" s="1"/>
      <c r="CR62" s="1"/>
      <c r="CS62" s="1"/>
      <c r="CT62" s="1"/>
      <c r="CU62" s="1"/>
      <c r="CV62" s="1"/>
      <c r="CW62" s="1">
        <v>3</v>
      </c>
      <c r="CX62" s="1">
        <v>3</v>
      </c>
      <c r="CY62" s="1"/>
      <c r="CZ62" s="1"/>
      <c r="DA62" s="1"/>
      <c r="DB62" s="1"/>
      <c r="DC62" s="1"/>
      <c r="DD62" s="1"/>
    </row>
    <row r="63" spans="1:108" x14ac:dyDescent="0.25">
      <c r="A63" t="s">
        <v>127</v>
      </c>
      <c r="B63" t="s">
        <v>105</v>
      </c>
      <c r="C63">
        <v>1311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>
        <v>1</v>
      </c>
      <c r="R63" s="1">
        <v>3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>
        <v>3</v>
      </c>
      <c r="AM63" s="1">
        <v>2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>
        <v>2</v>
      </c>
      <c r="BE63" s="1">
        <v>1</v>
      </c>
      <c r="BF63" s="1"/>
      <c r="BG63" s="1">
        <v>3</v>
      </c>
      <c r="BH63" s="1">
        <v>4</v>
      </c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>
        <v>2</v>
      </c>
      <c r="CF63" s="1">
        <v>2</v>
      </c>
      <c r="CG63" s="1"/>
      <c r="CH63" s="1"/>
      <c r="CI63" s="1"/>
      <c r="CJ63" s="1"/>
      <c r="CK63" s="1">
        <v>3</v>
      </c>
      <c r="CL63" s="1">
        <v>1</v>
      </c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>
        <v>4</v>
      </c>
      <c r="CX63" s="1">
        <v>2</v>
      </c>
      <c r="CY63" s="1"/>
      <c r="CZ63" s="1"/>
      <c r="DA63" s="1"/>
      <c r="DB63" s="1"/>
      <c r="DC63" s="1"/>
      <c r="DD63" s="1"/>
    </row>
    <row r="64" spans="1:108" x14ac:dyDescent="0.25">
      <c r="A64" t="s">
        <v>128</v>
      </c>
      <c r="B64" t="s">
        <v>105</v>
      </c>
      <c r="C64">
        <v>1578</v>
      </c>
      <c r="E64" s="1"/>
      <c r="F64" s="1"/>
      <c r="G64" s="1"/>
      <c r="H64" s="1"/>
      <c r="I64" s="1"/>
      <c r="J64" s="1"/>
      <c r="K64" s="1">
        <v>4</v>
      </c>
      <c r="L64" s="1">
        <v>5</v>
      </c>
      <c r="M64" s="1"/>
      <c r="N64" s="1"/>
      <c r="O64" s="1"/>
      <c r="P64" s="1"/>
      <c r="Q64" s="1"/>
      <c r="R64" s="1"/>
      <c r="S64" s="1"/>
      <c r="T64" s="1">
        <v>4</v>
      </c>
      <c r="U64" s="1">
        <v>3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>
        <v>4</v>
      </c>
      <c r="AP64" s="1">
        <v>1</v>
      </c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>
        <v>2</v>
      </c>
      <c r="BK64" s="1">
        <v>2</v>
      </c>
      <c r="BL64" s="1"/>
      <c r="BM64" s="1"/>
      <c r="BN64" s="1"/>
      <c r="BO64" s="1"/>
      <c r="BP64" s="1"/>
      <c r="BQ64" s="1"/>
      <c r="BR64" s="1"/>
      <c r="BS64" s="1">
        <v>4</v>
      </c>
      <c r="BT64" s="1">
        <v>5</v>
      </c>
      <c r="BU64" s="1"/>
      <c r="BV64" s="1">
        <v>3</v>
      </c>
      <c r="BW64" s="1">
        <v>2</v>
      </c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>
        <v>1</v>
      </c>
      <c r="DA64" s="1">
        <v>1</v>
      </c>
      <c r="DB64" s="1"/>
      <c r="DC64" s="1"/>
      <c r="DD64" s="1"/>
    </row>
    <row r="65" spans="1:108" x14ac:dyDescent="0.25">
      <c r="A65" t="s">
        <v>129</v>
      </c>
      <c r="B65" t="s">
        <v>105</v>
      </c>
      <c r="C65">
        <v>1162</v>
      </c>
      <c r="E65" s="1"/>
      <c r="F65" s="1"/>
      <c r="G65" s="1"/>
      <c r="H65" s="1">
        <v>3</v>
      </c>
      <c r="I65" s="1">
        <v>2</v>
      </c>
      <c r="J65" s="1"/>
      <c r="K65" s="1">
        <v>1</v>
      </c>
      <c r="L65" s="1">
        <v>2</v>
      </c>
      <c r="M65" s="1"/>
      <c r="N65" s="1">
        <v>3</v>
      </c>
      <c r="O65" s="1">
        <v>2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>
        <v>4</v>
      </c>
      <c r="BB65" s="1">
        <v>4</v>
      </c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>
        <v>4</v>
      </c>
      <c r="BN65" s="1">
        <v>2</v>
      </c>
      <c r="BO65" s="1"/>
      <c r="BP65" s="1"/>
      <c r="BQ65" s="1"/>
      <c r="BR65" s="1"/>
      <c r="BS65" s="1">
        <v>3</v>
      </c>
      <c r="BT65" s="1">
        <v>2</v>
      </c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>
        <v>2</v>
      </c>
      <c r="CR65" s="1">
        <v>1</v>
      </c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</row>
    <row r="66" spans="1:108" x14ac:dyDescent="0.25">
      <c r="A66" t="s">
        <v>130</v>
      </c>
      <c r="B66" t="s">
        <v>105</v>
      </c>
      <c r="C66">
        <v>1768</v>
      </c>
      <c r="E66" s="1">
        <v>1</v>
      </c>
      <c r="F66" s="1">
        <v>1</v>
      </c>
      <c r="G66" s="1"/>
      <c r="H66" s="1">
        <v>3</v>
      </c>
      <c r="I66" s="1">
        <v>3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>
        <v>1</v>
      </c>
      <c r="AD66" s="1">
        <v>5</v>
      </c>
      <c r="AE66" s="1"/>
      <c r="AF66" s="1"/>
      <c r="AG66" s="1"/>
      <c r="AH66" s="1"/>
      <c r="AI66" s="1">
        <v>3</v>
      </c>
      <c r="AJ66" s="1">
        <v>1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>
        <v>2</v>
      </c>
      <c r="BH66" s="1">
        <v>5</v>
      </c>
      <c r="BI66" s="1"/>
      <c r="BJ66" s="1"/>
      <c r="BK66" s="1"/>
      <c r="BL66" s="1"/>
      <c r="BM66" s="1"/>
      <c r="BN66" s="1"/>
      <c r="BO66" s="1"/>
      <c r="BP66" s="1">
        <v>3</v>
      </c>
      <c r="BQ66" s="1">
        <v>5</v>
      </c>
      <c r="BR66" s="1"/>
      <c r="BS66" s="1"/>
      <c r="BT66" s="1"/>
      <c r="BU66" s="1"/>
      <c r="BV66" s="1"/>
      <c r="BW66" s="1"/>
      <c r="BX66" s="1"/>
      <c r="BY66" s="1">
        <v>4</v>
      </c>
      <c r="BZ66" s="1">
        <v>2</v>
      </c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</row>
    <row r="67" spans="1:108" x14ac:dyDescent="0.25">
      <c r="A67" t="s">
        <v>131</v>
      </c>
      <c r="B67" t="s">
        <v>105</v>
      </c>
      <c r="C67">
        <v>1761</v>
      </c>
      <c r="E67" s="1">
        <v>2</v>
      </c>
      <c r="F67" s="1">
        <v>1</v>
      </c>
      <c r="G67" s="1"/>
      <c r="H67" s="1"/>
      <c r="I67" s="1"/>
      <c r="J67" s="1"/>
      <c r="K67" s="1"/>
      <c r="L67" s="1"/>
      <c r="M67" s="1"/>
      <c r="N67" s="1">
        <v>4</v>
      </c>
      <c r="O67" s="1">
        <v>4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>
        <v>4</v>
      </c>
      <c r="AP67" s="1">
        <v>4</v>
      </c>
      <c r="AQ67" s="1"/>
      <c r="AR67" s="1"/>
      <c r="AS67" s="1"/>
      <c r="AT67" s="1"/>
      <c r="AU67" s="1"/>
      <c r="AV67" s="1"/>
      <c r="AW67" s="1"/>
      <c r="AX67" s="1">
        <v>3</v>
      </c>
      <c r="AY67" s="1">
        <v>3</v>
      </c>
      <c r="AZ67" s="1"/>
      <c r="BA67" s="1">
        <v>4</v>
      </c>
      <c r="BB67" s="1">
        <v>4</v>
      </c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>
        <v>4</v>
      </c>
      <c r="BW67" s="1">
        <v>4</v>
      </c>
      <c r="BX67" s="1"/>
      <c r="BY67" s="1">
        <v>4</v>
      </c>
      <c r="BZ67" s="1">
        <v>4</v>
      </c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</row>
    <row r="68" spans="1:108" x14ac:dyDescent="0.25">
      <c r="A68" t="s">
        <v>132</v>
      </c>
      <c r="B68" t="s">
        <v>105</v>
      </c>
      <c r="C68">
        <v>1688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>
        <v>5</v>
      </c>
      <c r="X68" s="1">
        <v>3</v>
      </c>
      <c r="Y68" s="1"/>
      <c r="Z68" s="1"/>
      <c r="AA68" s="1"/>
      <c r="AB68" s="1"/>
      <c r="AC68" s="1"/>
      <c r="AD68" s="1"/>
      <c r="AE68" s="1"/>
      <c r="AF68" s="1">
        <v>3</v>
      </c>
      <c r="AG68" s="1">
        <v>3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>
        <v>3</v>
      </c>
      <c r="BK68" s="1">
        <v>3</v>
      </c>
      <c r="BL68" s="1"/>
      <c r="BM68" s="1"/>
      <c r="BN68" s="1"/>
      <c r="BO68" s="1"/>
      <c r="BP68" s="1">
        <v>4</v>
      </c>
      <c r="BQ68" s="1">
        <v>3</v>
      </c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>
        <v>2</v>
      </c>
      <c r="CC68" s="1">
        <v>3</v>
      </c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>
        <v>2</v>
      </c>
      <c r="CU68" s="1">
        <v>3</v>
      </c>
      <c r="CV68" s="1"/>
      <c r="CW68" s="1"/>
      <c r="CX68" s="1"/>
      <c r="CY68" s="1"/>
      <c r="CZ68" s="1"/>
      <c r="DA68" s="1"/>
      <c r="DB68" s="1"/>
      <c r="DC68" s="1">
        <v>4</v>
      </c>
      <c r="DD68" s="1">
        <v>4</v>
      </c>
    </row>
    <row r="69" spans="1:108" x14ac:dyDescent="0.25">
      <c r="A69" t="s">
        <v>133</v>
      </c>
      <c r="B69" t="s">
        <v>105</v>
      </c>
      <c r="C69">
        <v>2146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>
        <v>1</v>
      </c>
      <c r="AA69" s="1">
        <v>1</v>
      </c>
      <c r="AB69" s="1"/>
      <c r="AC69" s="1">
        <v>2</v>
      </c>
      <c r="AD69" s="1">
        <v>4</v>
      </c>
      <c r="AE69" s="1"/>
      <c r="AF69" s="1"/>
      <c r="AG69" s="1"/>
      <c r="AH69" s="1"/>
      <c r="AI69" s="1"/>
      <c r="AJ69" s="1"/>
      <c r="AK69" s="1"/>
      <c r="AL69" s="1">
        <v>5</v>
      </c>
      <c r="AM69" s="1">
        <v>1</v>
      </c>
      <c r="AN69" s="1"/>
      <c r="AO69" s="1"/>
      <c r="AP69" s="1"/>
      <c r="AQ69" s="1"/>
      <c r="AR69" s="1"/>
      <c r="AS69" s="1"/>
      <c r="AT69" s="1"/>
      <c r="AU69" s="1">
        <v>5</v>
      </c>
      <c r="AV69" s="1">
        <v>1</v>
      </c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>
        <v>4</v>
      </c>
      <c r="BT69" s="1">
        <v>1</v>
      </c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>
        <v>4</v>
      </c>
      <c r="CR69" s="1">
        <v>1</v>
      </c>
      <c r="CS69" s="1"/>
      <c r="CT69" s="1"/>
      <c r="CU69" s="1"/>
      <c r="CV69" s="1"/>
      <c r="CW69" s="1"/>
      <c r="CX69" s="1"/>
      <c r="CY69" s="1"/>
      <c r="CZ69" s="1">
        <v>3</v>
      </c>
      <c r="DA69" s="1">
        <v>1</v>
      </c>
      <c r="DB69" s="1"/>
      <c r="DC69" s="1"/>
      <c r="DD69" s="1"/>
    </row>
    <row r="70" spans="1:108" x14ac:dyDescent="0.25">
      <c r="A70" t="s">
        <v>134</v>
      </c>
      <c r="B70" t="s">
        <v>105</v>
      </c>
      <c r="C70">
        <v>846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>
        <v>2</v>
      </c>
      <c r="X70" s="1">
        <v>1</v>
      </c>
      <c r="Y70" s="1"/>
      <c r="Z70" s="1"/>
      <c r="AA70" s="1"/>
      <c r="AB70" s="1"/>
      <c r="AC70" s="1">
        <v>3</v>
      </c>
      <c r="AD70" s="1">
        <v>2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>
        <v>2</v>
      </c>
      <c r="AP70" s="1">
        <v>1</v>
      </c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>
        <v>2</v>
      </c>
      <c r="BH70" s="1">
        <v>3</v>
      </c>
      <c r="BI70" s="1"/>
      <c r="BJ70" s="1"/>
      <c r="BK70" s="1"/>
      <c r="BL70" s="1"/>
      <c r="BM70" s="1"/>
      <c r="BN70" s="1"/>
      <c r="BO70" s="1"/>
      <c r="BP70" s="1">
        <v>5</v>
      </c>
      <c r="BQ70" s="1">
        <v>2</v>
      </c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>
        <v>2</v>
      </c>
      <c r="CO70" s="1">
        <v>3</v>
      </c>
      <c r="CP70" s="1"/>
      <c r="CQ70" s="1"/>
      <c r="CR70" s="1"/>
      <c r="CS70" s="1"/>
      <c r="CT70" s="1"/>
      <c r="CU70" s="1"/>
      <c r="CV70" s="1"/>
      <c r="CW70" s="1">
        <v>5</v>
      </c>
      <c r="CX70" s="1">
        <v>5</v>
      </c>
      <c r="CY70" s="1"/>
      <c r="CZ70" s="1"/>
      <c r="DA70" s="1"/>
      <c r="DB70" s="1"/>
      <c r="DC70" s="1"/>
      <c r="DD70" s="1"/>
    </row>
    <row r="71" spans="1:108" x14ac:dyDescent="0.25">
      <c r="A71" t="s">
        <v>79</v>
      </c>
      <c r="E71" s="1">
        <f t="shared" ref="E71:F71" si="349">AVERAGE(E41:E70)</f>
        <v>2.1666666666666665</v>
      </c>
      <c r="F71" s="1">
        <f t="shared" si="349"/>
        <v>1.1666666666666667</v>
      </c>
      <c r="G71" s="1"/>
      <c r="H71" s="1">
        <f t="shared" ref="H71:I71" si="350">AVERAGE(H41:H70)</f>
        <v>3</v>
      </c>
      <c r="I71" s="1">
        <f t="shared" si="350"/>
        <v>1.8333333333333333</v>
      </c>
      <c r="J71" s="1"/>
      <c r="K71" s="1">
        <f t="shared" ref="K71:L71" si="351">AVERAGE(K41:K70)</f>
        <v>2.7142857142857144</v>
      </c>
      <c r="L71" s="1">
        <f t="shared" si="351"/>
        <v>2.5714285714285716</v>
      </c>
      <c r="M71" s="1"/>
      <c r="N71" s="1">
        <f t="shared" ref="N71:O71" si="352">AVERAGE(N41:N70)</f>
        <v>3.8571428571428572</v>
      </c>
      <c r="O71" s="1">
        <f t="shared" si="352"/>
        <v>3.4285714285714284</v>
      </c>
      <c r="P71" s="1"/>
      <c r="Q71" s="1">
        <f t="shared" ref="Q71:R71" si="353">AVERAGE(Q41:Q70)</f>
        <v>1.8</v>
      </c>
      <c r="R71" s="1">
        <f t="shared" si="353"/>
        <v>3.2</v>
      </c>
      <c r="S71" s="1"/>
      <c r="T71" s="1">
        <f t="shared" ref="T71:U71" si="354">AVERAGE(T41:T70)</f>
        <v>3.6666666666666665</v>
      </c>
      <c r="U71" s="1">
        <f t="shared" si="354"/>
        <v>2.5</v>
      </c>
      <c r="V71" s="1"/>
      <c r="W71" s="1">
        <f t="shared" ref="W71:X71" si="355">AVERAGE(W41:W70)</f>
        <v>2.2857142857142856</v>
      </c>
      <c r="X71" s="1">
        <f t="shared" si="355"/>
        <v>1.8571428571428572</v>
      </c>
      <c r="Y71" s="1"/>
      <c r="Z71" s="1">
        <f t="shared" ref="Z71:AA71" si="356">AVERAGE(Z41:Z70)</f>
        <v>2.6</v>
      </c>
      <c r="AA71" s="1">
        <f t="shared" si="356"/>
        <v>1.4</v>
      </c>
      <c r="AB71" s="1"/>
      <c r="AC71" s="1">
        <f t="shared" ref="AC71:AD71" si="357">AVERAGE(AC41:AC70)</f>
        <v>1.8333333333333333</v>
      </c>
      <c r="AD71" s="1">
        <f t="shared" si="357"/>
        <v>4.333333333333333</v>
      </c>
      <c r="AE71" s="1"/>
      <c r="AF71" s="1">
        <f t="shared" ref="AF71:AG71" si="358">AVERAGE(AF41:AF70)</f>
        <v>3.6</v>
      </c>
      <c r="AG71" s="1">
        <f t="shared" si="358"/>
        <v>2.8</v>
      </c>
      <c r="AH71" s="1"/>
      <c r="AI71" s="1">
        <f t="shared" ref="AI71:AJ71" si="359">AVERAGE(AI41:AI70)</f>
        <v>3.6666666666666665</v>
      </c>
      <c r="AJ71" s="1">
        <f t="shared" si="359"/>
        <v>3</v>
      </c>
      <c r="AK71" s="1"/>
      <c r="AL71" s="1">
        <f t="shared" ref="AL71:AM71" si="360">AVERAGE(AL41:AL70)</f>
        <v>3.1666666666666665</v>
      </c>
      <c r="AM71" s="1">
        <f t="shared" si="360"/>
        <v>2.5</v>
      </c>
      <c r="AN71" s="1"/>
      <c r="AO71" s="1">
        <f t="shared" ref="AO71:AP71" si="361">AVERAGE(AO41:AO70)</f>
        <v>3.5</v>
      </c>
      <c r="AP71" s="1">
        <f t="shared" si="361"/>
        <v>2.5</v>
      </c>
      <c r="AQ71" s="1"/>
      <c r="AR71" s="1">
        <f t="shared" ref="AR71:AS71" si="362">AVERAGE(AR41:AR70)</f>
        <v>4</v>
      </c>
      <c r="AS71" s="1">
        <f t="shared" si="362"/>
        <v>3</v>
      </c>
      <c r="AT71" s="1"/>
      <c r="AU71" s="1">
        <f t="shared" ref="AU71:AV71" si="363">AVERAGE(AU41:AU70)</f>
        <v>3.5714285714285716</v>
      </c>
      <c r="AV71" s="1">
        <f t="shared" si="363"/>
        <v>3.2857142857142856</v>
      </c>
      <c r="AW71" s="1"/>
      <c r="AX71" s="1">
        <f t="shared" ref="AX71:AY71" si="364">AVERAGE(AX41:AX70)</f>
        <v>3.1666666666666665</v>
      </c>
      <c r="AY71" s="1">
        <f t="shared" si="364"/>
        <v>2</v>
      </c>
      <c r="AZ71" s="1"/>
      <c r="BA71" s="1">
        <f t="shared" ref="BA71:BB71" si="365">AVERAGE(BA41:BA70)</f>
        <v>3.6666666666666665</v>
      </c>
      <c r="BB71" s="1">
        <f t="shared" si="365"/>
        <v>3.8333333333333335</v>
      </c>
      <c r="BC71" s="1"/>
      <c r="BD71" s="1">
        <f t="shared" ref="BD71:BE71" si="366">AVERAGE(BD41:BD70)</f>
        <v>2.3333333333333335</v>
      </c>
      <c r="BE71" s="1">
        <f t="shared" si="366"/>
        <v>2.3333333333333335</v>
      </c>
      <c r="BF71" s="1"/>
      <c r="BG71" s="1">
        <f t="shared" ref="BG71:BH71" si="367">AVERAGE(BG41:BG70)</f>
        <v>2.6666666666666665</v>
      </c>
      <c r="BH71" s="1">
        <f t="shared" si="367"/>
        <v>4.333333333333333</v>
      </c>
      <c r="BI71" s="1"/>
      <c r="BJ71" s="1">
        <f t="shared" ref="BJ71:BK71" si="368">AVERAGE(BJ41:BJ70)</f>
        <v>2.6666666666666665</v>
      </c>
      <c r="BK71" s="1">
        <f t="shared" si="368"/>
        <v>2.5</v>
      </c>
      <c r="BL71" s="1"/>
      <c r="BM71" s="1">
        <f t="shared" ref="BM71:BN71" si="369">AVERAGE(BM41:BM70)</f>
        <v>3.7142857142857144</v>
      </c>
      <c r="BN71" s="1">
        <f t="shared" si="369"/>
        <v>2.1428571428571428</v>
      </c>
      <c r="BO71" s="1"/>
      <c r="BP71" s="1">
        <f t="shared" ref="BP71:BQ71" si="370">AVERAGE(BP41:BP70)</f>
        <v>4</v>
      </c>
      <c r="BQ71" s="1">
        <f t="shared" si="370"/>
        <v>3.7142857142857144</v>
      </c>
      <c r="BR71" s="1"/>
      <c r="BS71" s="1">
        <f t="shared" ref="BS71:BT71" si="371">AVERAGE(BS41:BS70)</f>
        <v>3.3333333333333335</v>
      </c>
      <c r="BT71" s="1">
        <f t="shared" si="371"/>
        <v>2.6666666666666665</v>
      </c>
      <c r="BU71" s="1"/>
      <c r="BV71" s="1">
        <f t="shared" ref="BV71:BW71" si="372">AVERAGE(BV41:BV70)</f>
        <v>3.6</v>
      </c>
      <c r="BW71" s="1">
        <f t="shared" si="372"/>
        <v>3.6</v>
      </c>
      <c r="BX71" s="1"/>
      <c r="BY71" s="1">
        <f t="shared" ref="BY71:BZ71" si="373">AVERAGE(BY41:BY70)</f>
        <v>3</v>
      </c>
      <c r="BZ71" s="1">
        <f t="shared" si="373"/>
        <v>3.2</v>
      </c>
      <c r="CA71" s="1"/>
      <c r="CB71" s="1">
        <f t="shared" ref="CB71:CC71" si="374">AVERAGE(CB41:CB70)</f>
        <v>3.4</v>
      </c>
      <c r="CC71" s="1">
        <f t="shared" si="374"/>
        <v>2.2000000000000002</v>
      </c>
      <c r="CD71" s="1"/>
      <c r="CE71" s="1">
        <f t="shared" ref="CE71:CF71" si="375">AVERAGE(CE41:CE70)</f>
        <v>1.6</v>
      </c>
      <c r="CF71" s="1">
        <f t="shared" si="375"/>
        <v>2.4</v>
      </c>
      <c r="CG71" s="1"/>
      <c r="CH71" s="1">
        <f t="shared" ref="CH71:CI71" si="376">AVERAGE(CH41:CH70)</f>
        <v>1.8571428571428572</v>
      </c>
      <c r="CI71" s="1">
        <f t="shared" si="376"/>
        <v>2.4285714285714284</v>
      </c>
      <c r="CJ71" s="1"/>
      <c r="CK71" s="1">
        <f t="shared" ref="CK71:CL71" si="377">AVERAGE(CK41:CK70)</f>
        <v>2.5</v>
      </c>
      <c r="CL71" s="1">
        <f t="shared" si="377"/>
        <v>3</v>
      </c>
      <c r="CM71" s="1"/>
      <c r="CN71" s="1">
        <f t="shared" ref="CN71:CO71" si="378">AVERAGE(CN41:CN70)</f>
        <v>3.1428571428571428</v>
      </c>
      <c r="CO71" s="1">
        <f t="shared" si="378"/>
        <v>3</v>
      </c>
      <c r="CP71" s="1"/>
      <c r="CQ71" s="1">
        <f t="shared" ref="CQ71:CR71" si="379">AVERAGE(CQ41:CQ70)</f>
        <v>3.3333333333333335</v>
      </c>
      <c r="CR71" s="1">
        <f t="shared" si="379"/>
        <v>1.5</v>
      </c>
      <c r="CS71" s="1"/>
      <c r="CT71" s="1">
        <f t="shared" ref="CT71:CU71" si="380">AVERAGE(CT41:CT70)</f>
        <v>2.6</v>
      </c>
      <c r="CU71" s="1">
        <f t="shared" si="380"/>
        <v>1.6</v>
      </c>
      <c r="CV71" s="1"/>
      <c r="CW71" s="1">
        <f t="shared" ref="CW71:CX71" si="381">AVERAGE(CW41:CW70)</f>
        <v>2.5714285714285716</v>
      </c>
      <c r="CX71" s="1">
        <f t="shared" si="381"/>
        <v>2.8571428571428572</v>
      </c>
      <c r="CY71" s="1"/>
      <c r="CZ71" s="1">
        <f t="shared" ref="CZ71:DA71" si="382">AVERAGE(CZ41:CZ70)</f>
        <v>1.8</v>
      </c>
      <c r="DA71" s="1">
        <f t="shared" si="382"/>
        <v>2.4</v>
      </c>
      <c r="DB71" s="1"/>
      <c r="DC71" s="1">
        <f t="shared" ref="DC71:DD71" si="383">AVERAGE(DC41:DC70)</f>
        <v>3.3333333333333335</v>
      </c>
      <c r="DD71" s="1">
        <f t="shared" si="383"/>
        <v>3.3333333333333335</v>
      </c>
    </row>
    <row r="72" spans="1:108" x14ac:dyDescent="0.25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</row>
    <row r="73" spans="1:108" x14ac:dyDescent="0.25">
      <c r="A73" t="s">
        <v>135</v>
      </c>
      <c r="E73" s="1">
        <f>AVERAGE(E7,E11,E15,E18,E22,E29,E36,E71)</f>
        <v>2.4083333333333337</v>
      </c>
      <c r="F73" s="1">
        <f t="shared" ref="F73" si="384">AVERAGE(F7,F11,F15,F22,F25,F29,F36,F71)</f>
        <v>1.5833333333333333</v>
      </c>
      <c r="G73" s="1"/>
      <c r="H73" s="1">
        <f t="shared" ref="H73" si="385">AVERAGE(H7,H11,H15,H18,H22,H29,H36,H71)</f>
        <v>3.6625000000000001</v>
      </c>
      <c r="I73" s="1">
        <f t="shared" ref="I73" si="386">AVERAGE(I7,I11,I15,I22,I25,I29,I36,I71)</f>
        <v>2.1666666666666665</v>
      </c>
      <c r="J73" s="1"/>
      <c r="K73" s="1">
        <f t="shared" ref="K73" si="387">AVERAGE(K7,K11,K15,K18,K22,K29,K36,K71)</f>
        <v>2.9892857142857143</v>
      </c>
      <c r="L73" s="1">
        <f t="shared" ref="L73" si="388">AVERAGE(L7,L11,L15,L22,L25,L29,L36,L71)</f>
        <v>3.8339285714285718</v>
      </c>
      <c r="M73" s="1"/>
      <c r="N73" s="1">
        <f t="shared" ref="N73" si="389">AVERAGE(N7,N11,N15,N18,N22,N29,N36,N71)</f>
        <v>3.969642857142857</v>
      </c>
      <c r="O73" s="1">
        <f t="shared" ref="O73" si="390">AVERAGE(O7,O11,O15,O22,O25,O29,O36,O71)</f>
        <v>3.7285714285714282</v>
      </c>
      <c r="P73" s="1"/>
      <c r="Q73" s="1">
        <f t="shared" ref="Q73" si="391">AVERAGE(Q7,Q11,Q15,Q18,Q22,Q29,Q36,Q71)</f>
        <v>2.5625</v>
      </c>
      <c r="R73" s="1">
        <f t="shared" ref="R73" si="392">AVERAGE(R7,R11,R15,R22,R25,R29,R36,R71)</f>
        <v>3.9</v>
      </c>
      <c r="S73" s="1"/>
      <c r="T73" s="1">
        <f t="shared" ref="T73" si="393">AVERAGE(T7,T11,T15,T18,T22,T29,T36,T71)</f>
        <v>3.8708333333333336</v>
      </c>
      <c r="U73" s="1">
        <f t="shared" ref="U73" si="394">AVERAGE(U7,U11,U15,U22,U25,U29,U36,U71)</f>
        <v>3.8374999999999999</v>
      </c>
      <c r="V73" s="1"/>
      <c r="W73" s="1">
        <f t="shared" ref="W73" si="395">AVERAGE(W7,W11,W15,W18,W22,W29,W36,W71)</f>
        <v>2.8482142857142856</v>
      </c>
      <c r="X73" s="1">
        <f t="shared" ref="X73" si="396">AVERAGE(X7,X11,X15,X22,X25,X29,X36,X71)</f>
        <v>2.4821428571428572</v>
      </c>
      <c r="Y73" s="1"/>
      <c r="Z73" s="1">
        <f t="shared" ref="Z73" si="397">AVERAGE(Z7,Z11,Z15,Z18,Z22,Z29,Z36,Z71)</f>
        <v>2.7750000000000004</v>
      </c>
      <c r="AA73" s="1">
        <f t="shared" ref="AA73" si="398">AVERAGE(AA7,AA11,AA15,AA22,AA25,AA29,AA36,AA71)</f>
        <v>1.6375</v>
      </c>
      <c r="AB73" s="1"/>
      <c r="AC73" s="1">
        <f t="shared" ref="AC73" si="399">AVERAGE(AC7,AC11,AC15,AC18,AC22,AC29,AC36,AC71)</f>
        <v>2.3041666666666667</v>
      </c>
      <c r="AD73" s="1">
        <f t="shared" ref="AD73" si="400">AVERAGE(AD7,AD11,AD15,AD22,AD25,AD29,AD36,AD71)</f>
        <v>4.166666666666667</v>
      </c>
      <c r="AE73" s="1"/>
      <c r="AF73" s="1">
        <f t="shared" ref="AF73" si="401">AVERAGE(AF7,AF11,AF15,AF18,AF22,AF29,AF36,AF71)</f>
        <v>3.4625000000000004</v>
      </c>
      <c r="AG73" s="1">
        <f t="shared" ref="AG73" si="402">AVERAGE(AG7,AG11,AG15,AG22,AG25,AG29,AG36,AG71)</f>
        <v>3.375</v>
      </c>
      <c r="AH73" s="1"/>
      <c r="AI73" s="1">
        <f t="shared" ref="AI73" si="403">AVERAGE(AI7,AI11,AI15,AI18,AI22,AI29,AI36,AI71)</f>
        <v>3.6333333333333333</v>
      </c>
      <c r="AJ73" s="1">
        <f t="shared" ref="AJ73" si="404">AVERAGE(AJ7,AJ11,AJ15,AJ22,AJ25,AJ29,AJ36,AJ71)</f>
        <v>2.5</v>
      </c>
      <c r="AK73" s="1"/>
      <c r="AL73" s="1">
        <f t="shared" ref="AL73" si="405">AVERAGE(AL7,AL11,AL15,AL18,AL22,AL29,AL36,AL71)</f>
        <v>3.1083333333333334</v>
      </c>
      <c r="AM73" s="1">
        <f t="shared" ref="AM73" si="406">AVERAGE(AM7,AM11,AM15,AM22,AM25,AM29,AM36,AM71)</f>
        <v>2.6749999999999998</v>
      </c>
      <c r="AN73" s="1"/>
      <c r="AO73" s="1">
        <f t="shared" ref="AO73" si="407">AVERAGE(AO7,AO11,AO15,AO18,AO22,AO29,AO36,AO71)</f>
        <v>3.9624999999999999</v>
      </c>
      <c r="AP73" s="1">
        <f t="shared" ref="AP73" si="408">AVERAGE(AP7,AP11,AP15,AP22,AP25,AP29,AP36,AP71)</f>
        <v>2.8875000000000002</v>
      </c>
      <c r="AQ73" s="1"/>
      <c r="AR73" s="1">
        <f t="shared" ref="AR73" si="409">AVERAGE(AR7,AR11,AR15,AR18,AR22,AR29,AR36,AR71)</f>
        <v>2.9249999999999998</v>
      </c>
      <c r="AS73" s="1">
        <f t="shared" ref="AS73" si="410">AVERAGE(AS7,AS11,AS15,AS22,AS25,AS29,AS36,AS71)</f>
        <v>4.0374999999999996</v>
      </c>
      <c r="AT73" s="1"/>
      <c r="AU73" s="1">
        <f t="shared" ref="AU73" si="411">AVERAGE(AU7,AU11,AU15,AU18,AU22,AU29,AU36,AU71)</f>
        <v>3.1339285714285716</v>
      </c>
      <c r="AV73" s="1">
        <f t="shared" ref="AV73" si="412">AVERAGE(AV7,AV11,AV15,AV22,AV25,AV29,AV36,AV71)</f>
        <v>4.1107142857142858</v>
      </c>
      <c r="AW73" s="1"/>
      <c r="AX73" s="1">
        <f t="shared" ref="AX73" si="413">AVERAGE(AX7,AX11,AX15,AX18,AX22,AX29,AX36,AX71)</f>
        <v>2.1583333333333332</v>
      </c>
      <c r="AY73" s="1">
        <f t="shared" ref="AY73" si="414">AVERAGE(AY7,AY11,AY15,AY22,AY25,AY29,AY36,AY71)</f>
        <v>1.6125</v>
      </c>
      <c r="AZ73" s="1"/>
      <c r="BA73" s="1">
        <f t="shared" ref="BA73" si="415">AVERAGE(BA7,BA11,BA15,BA18,BA22,BA29,BA36,BA71)</f>
        <v>3.6333333333333333</v>
      </c>
      <c r="BB73" s="1">
        <f t="shared" ref="BB73" si="416">AVERAGE(BB7,BB11,BB15,BB22,BB25,BB29,BB36,BB71)</f>
        <v>4.0041666666666664</v>
      </c>
      <c r="BC73" s="1"/>
      <c r="BD73" s="1">
        <f t="shared" ref="BD73" si="417">AVERAGE(BD7,BD11,BD15,BD18,BD22,BD29,BD36,BD71)</f>
        <v>2.8291666666666666</v>
      </c>
      <c r="BE73" s="1">
        <f t="shared" ref="BE73" si="418">AVERAGE(BE7,BE11,BE15,BE22,BE25,BE29,BE36,BE71)</f>
        <v>2.7291666666666665</v>
      </c>
      <c r="BF73" s="1"/>
      <c r="BG73" s="1">
        <f t="shared" ref="BG73" si="419">AVERAGE(BG7,BG11,BG15,BG18,BG22,BG29,BG36,BG71)</f>
        <v>3.3958333333333335</v>
      </c>
      <c r="BH73" s="1">
        <f t="shared" ref="BH73" si="420">AVERAGE(BH7,BH11,BH15,BH22,BH25,BH29,BH36,BH71)</f>
        <v>4.2041666666666666</v>
      </c>
      <c r="BI73" s="1"/>
      <c r="BJ73" s="1">
        <f t="shared" ref="BJ73" si="421">AVERAGE(BJ7,BJ11,BJ15,BJ18,BJ22,BJ29,BJ36,BJ71)</f>
        <v>3.1708333333333334</v>
      </c>
      <c r="BK73" s="1">
        <f t="shared" ref="BK73" si="422">AVERAGE(BK7,BK11,BK15,BK22,BK25,BK29,BK36,BK71)</f>
        <v>2.875</v>
      </c>
      <c r="BL73" s="1"/>
      <c r="BM73" s="1">
        <f t="shared" ref="BM73" si="423">AVERAGE(BM7,BM11,BM15,BM18,BM22,BM29,BM36,BM71)</f>
        <v>3.3267857142857142</v>
      </c>
      <c r="BN73" s="1">
        <f t="shared" ref="BN73" si="424">AVERAGE(BN7,BN11,BN15,BN22,BN25,BN29,BN36,BN71)</f>
        <v>2.6053571428571427</v>
      </c>
      <c r="BO73" s="1"/>
      <c r="BP73" s="1">
        <f t="shared" ref="BP73" si="425">AVERAGE(BP7,BP11,BP15,BP18,BP22,BP29,BP36,BP71)</f>
        <v>3.1375000000000002</v>
      </c>
      <c r="BQ73" s="1">
        <f t="shared" ref="BQ73" si="426">AVERAGE(BQ7,BQ11,BQ15,BQ22,BQ25,BQ29,BQ36,BQ71)</f>
        <v>3.9267857142857143</v>
      </c>
      <c r="BR73" s="1"/>
      <c r="BS73" s="1">
        <f t="shared" ref="BS73" si="427">AVERAGE(BS7,BS11,BS15,BS18,BS22,BS29,BS36,BS71)</f>
        <v>3.6916666666666664</v>
      </c>
      <c r="BT73" s="1">
        <f t="shared" ref="BT73" si="428">AVERAGE(BT7,BT11,BT15,BT22,BT25,BT29,BT36,BT71)</f>
        <v>3.3833333333333333</v>
      </c>
      <c r="BU73" s="1"/>
      <c r="BV73" s="1">
        <f t="shared" ref="BV73" si="429">AVERAGE(BV7,BV11,BV15,BV18,BV22,BV29,BV36,BV71)</f>
        <v>3.6125000000000003</v>
      </c>
      <c r="BW73" s="1">
        <f t="shared" ref="BW73" si="430">AVERAGE(BW7,BW11,BW15,BW22,BW25,BW29,BW36,BW71)</f>
        <v>3.1625000000000001</v>
      </c>
      <c r="BX73" s="1"/>
      <c r="BY73" s="1">
        <f t="shared" ref="BY73" si="431">AVERAGE(BY7,BY11,BY15,BY18,BY22,BY29,BY36,BY71)</f>
        <v>3.1</v>
      </c>
      <c r="BZ73" s="1">
        <f t="shared" ref="BZ73" si="432">AVERAGE(BZ7,BZ11,BZ15,BZ22,BZ25,BZ29,BZ36,BZ71)</f>
        <v>3.5625</v>
      </c>
      <c r="CA73" s="1"/>
      <c r="CB73" s="1">
        <f t="shared" ref="CB73" si="433">AVERAGE(CB7,CB11,CB15,CB18,CB22,CB29,CB36,CB71)</f>
        <v>3.125</v>
      </c>
      <c r="CC73" s="1">
        <f t="shared" ref="CC73" si="434">AVERAGE(CC7,CC11,CC15,CC22,CC25,CC29,CC36,CC71)</f>
        <v>3.05</v>
      </c>
      <c r="CD73" s="1"/>
      <c r="CE73" s="1">
        <f t="shared" ref="CE73" si="435">AVERAGE(CE7,CE11,CE15,CE18,CE22,CE29,CE36,CE71)</f>
        <v>1.9875</v>
      </c>
      <c r="CF73" s="1">
        <f t="shared" ref="CF73" si="436">AVERAGE(CF7,CF11,CF15,CF22,CF25,CF29,CF36,CF71)</f>
        <v>2.5124999999999997</v>
      </c>
      <c r="CG73" s="1"/>
      <c r="CH73" s="1">
        <f t="shared" ref="CH73" si="437">AVERAGE(CH7,CH11,CH15,CH18,CH22,CH29,CH36,CH71)</f>
        <v>2.9196428571428572</v>
      </c>
      <c r="CI73" s="1">
        <f t="shared" ref="CI73" si="438">AVERAGE(CI7,CI11,CI15,CI22,CI25,CI29,CI36,CI71)</f>
        <v>3.5285714285714285</v>
      </c>
      <c r="CJ73" s="1"/>
      <c r="CK73" s="1">
        <f t="shared" ref="CK73" si="439">AVERAGE(CK7,CK11,CK15,CK18,CK22,CK29,CK36,CK71)</f>
        <v>2.1625000000000001</v>
      </c>
      <c r="CL73" s="1">
        <f t="shared" ref="CL73" si="440">AVERAGE(CL7,CL11,CL15,CL22,CL25,CL29,CL36,CL71)</f>
        <v>3.5</v>
      </c>
      <c r="CM73" s="1"/>
      <c r="CN73" s="1">
        <f t="shared" ref="CN73" si="441">AVERAGE(CN7,CN11,CN15,CN18,CN22,CN29,CN36,CN71)</f>
        <v>3.530357142857143</v>
      </c>
      <c r="CO73" s="1">
        <f t="shared" ref="CO73" si="442">AVERAGE(CO7,CO11,CO15,CO22,CO25,CO29,CO36,CO71)</f>
        <v>3.8875000000000002</v>
      </c>
      <c r="CP73" s="1"/>
      <c r="CQ73" s="1">
        <f t="shared" ref="CQ73" si="443">AVERAGE(CQ7,CQ11,CQ15,CQ18,CQ22,CQ29,CQ36,CQ71)</f>
        <v>3.0791666666666666</v>
      </c>
      <c r="CR73" s="1">
        <f t="shared" ref="CR73" si="444">AVERAGE(CR7,CR11,CR15,CR22,CR25,CR29,CR36,CR71)</f>
        <v>1.2</v>
      </c>
      <c r="CS73" s="1"/>
      <c r="CT73" s="1">
        <f t="shared" ref="CT73" si="445">AVERAGE(CT7,CT11,CT15,CT18,CT22,CT29,CT36,CT71)</f>
        <v>3.1</v>
      </c>
      <c r="CU73" s="1">
        <f t="shared" ref="CU73" si="446">AVERAGE(CU7,CU11,CU15,CU22,CU25,CU29,CU36,CU71)</f>
        <v>2.3250000000000002</v>
      </c>
      <c r="CV73" s="1"/>
      <c r="CW73" s="1">
        <f t="shared" ref="CW73" si="447">AVERAGE(CW7,CW11,CW15,CW18,CW22,CW29,CW36,CW71)</f>
        <v>2.1839285714285714</v>
      </c>
      <c r="CX73" s="1">
        <f t="shared" ref="CX73" si="448">AVERAGE(CX7,CX11,CX15,CX22,CX25,CX29,CX36,CX71)</f>
        <v>2.9446428571428571</v>
      </c>
      <c r="CY73" s="1"/>
      <c r="CZ73" s="1">
        <f t="shared" ref="CZ73" si="449">AVERAGE(CZ7,CZ11,CZ15,CZ18,CZ22,CZ29,CZ36,CZ71)</f>
        <v>2.5874999999999999</v>
      </c>
      <c r="DA73" s="1">
        <f t="shared" ref="DA73" si="450">AVERAGE(DA7,DA11,DA15,DA22,DA25,DA29,DA36,DA71)</f>
        <v>3.0999999999999996</v>
      </c>
      <c r="DB73" s="1"/>
      <c r="DC73" s="1">
        <f t="shared" ref="DC73" si="451">AVERAGE(DC7,DC11,DC15,DC18,DC22,DC29,DC36,DC71)</f>
        <v>3.6416666666666666</v>
      </c>
      <c r="DD73" s="1">
        <f t="shared" ref="DD73" si="452">AVERAGE(DD7,DD11,DD15,DD22,DD25,DD29,DD36,DD71)</f>
        <v>3.6291666666666664</v>
      </c>
    </row>
    <row r="74" spans="1:108" x14ac:dyDescent="0.25">
      <c r="A74" t="s">
        <v>136</v>
      </c>
      <c r="E74" s="1">
        <f>AVERAGE(E7,E11,E15,E18,E22,E29,E36,E41:E70)</f>
        <v>2.3153846153846156</v>
      </c>
      <c r="F74" s="1">
        <f>AVERAGE(F7,F11,F15,F18,F22,F25,F29,F36,F41:F70)</f>
        <v>1.4642857142857142</v>
      </c>
      <c r="G74" s="1"/>
      <c r="H74" s="1">
        <f t="shared" ref="H74" si="453">AVERAGE(H7,H11,H15,H18,H22,H29,H36,H41:H70)</f>
        <v>3.4076923076923076</v>
      </c>
      <c r="I74" s="1">
        <f t="shared" ref="I74" si="454">AVERAGE(I7,I11,I15,I18,I22,I25,I29,I36,I41:I70)</f>
        <v>2.1071428571428572</v>
      </c>
      <c r="J74" s="1"/>
      <c r="K74" s="1">
        <f t="shared" ref="K74" si="455">AVERAGE(K7,K11,K15,K18,K22,K29,K36,K41:K70)</f>
        <v>2.8714285714285714</v>
      </c>
      <c r="L74" s="1">
        <f t="shared" ref="L74" si="456">AVERAGE(L7,L11,L15,L18,L22,L25,L29,L36,L41:L70)</f>
        <v>3.2733333333333334</v>
      </c>
      <c r="M74" s="1"/>
      <c r="N74" s="1">
        <f t="shared" ref="N74" si="457">AVERAGE(N7,N11,N15,N18,N22,N29,N36,N41:N70)</f>
        <v>3.9214285714285713</v>
      </c>
      <c r="O74" s="1">
        <f t="shared" ref="O74" si="458">AVERAGE(O7,O11,O15,O18,O22,O25,O29,O36,O41:O70)</f>
        <v>3.4933333333333332</v>
      </c>
      <c r="P74" s="1"/>
      <c r="Q74" s="1">
        <f t="shared" ref="Q74" si="459">AVERAGE(Q7,Q11,Q15,Q18,Q22,Q29,Q36,Q41:Q70)</f>
        <v>2.3083333333333331</v>
      </c>
      <c r="R74" s="1">
        <f t="shared" ref="R74" si="460">AVERAGE(R7,R11,R15,R18,R22,R25,R29,R36,R41:R70)</f>
        <v>3.6153846153846154</v>
      </c>
      <c r="S74" s="1"/>
      <c r="T74" s="1">
        <f t="shared" ref="T74" si="461">AVERAGE(T7,T11,T15,T18,T22,T29,T36,T41:T70)</f>
        <v>3.7923076923076922</v>
      </c>
      <c r="U74" s="1">
        <f t="shared" ref="U74" si="462">AVERAGE(U7,U11,U15,U18,U22,U25,U29,U36,U41:U70)</f>
        <v>3.3000000000000003</v>
      </c>
      <c r="V74" s="1"/>
      <c r="W74" s="1">
        <f t="shared" ref="W74" si="463">AVERAGE(W7,W11,W15,W18,W22,W29,W36,W41:W70)</f>
        <v>2.6071428571428572</v>
      </c>
      <c r="X74" s="1">
        <f t="shared" ref="X74" si="464">AVERAGE(X7,X11,X15,X18,X22,X25,X29,X36,X41:X70)</f>
        <v>2.3333333333333335</v>
      </c>
      <c r="Y74" s="1"/>
      <c r="Z74" s="1">
        <f t="shared" ref="Z74" si="465">AVERAGE(Z7,Z11,Z15,Z18,Z22,Z29,Z36,Z41:Z70)</f>
        <v>2.7166666666666668</v>
      </c>
      <c r="AA74" s="1">
        <f t="shared" ref="AA74" si="466">AVERAGE(AA7,AA11,AA15,AA18,AA22,AA25,AA29,AA36,AA41:AA70)</f>
        <v>1.5153846153846153</v>
      </c>
      <c r="AB74" s="1"/>
      <c r="AC74" s="1">
        <f t="shared" ref="AC74" si="467">AVERAGE(AC7,AC11,AC15,AC18,AC22,AC29,AC36,AC41:AC70)</f>
        <v>2.1230769230769231</v>
      </c>
      <c r="AD74" s="1">
        <f t="shared" ref="AD74" si="468">AVERAGE(AD7,AD11,AD15,AD18,AD22,AD25,AD29,AD36,AD41:AD70)</f>
        <v>4</v>
      </c>
      <c r="AE74" s="1"/>
      <c r="AF74" s="1">
        <f t="shared" ref="AF74" si="469">AVERAGE(AF7,AF11,AF15,AF18,AF22,AF29,AF36,AF41:AF70)</f>
        <v>3.5083333333333333</v>
      </c>
      <c r="AG74" s="1">
        <f t="shared" ref="AG74" si="470">AVERAGE(AG7,AG11,AG15,AG18,AG22,AG25,AG29,AG36,AG41:AG70)</f>
        <v>3.0153846153846158</v>
      </c>
      <c r="AH74" s="1"/>
      <c r="AI74" s="1">
        <f t="shared" ref="AI74" si="471">AVERAGE(AI7,AI11,AI15,AI18,AI22,AI29,AI36,AI41:AI70)</f>
        <v>3.6461538461538461</v>
      </c>
      <c r="AJ74" s="1">
        <f t="shared" ref="AJ74" si="472">AVERAGE(AJ7,AJ11,AJ15,AJ18,AJ22,AJ25,AJ29,AJ36,AJ41:AJ70)</f>
        <v>2.5714285714285716</v>
      </c>
      <c r="AK74" s="1"/>
      <c r="AL74" s="1">
        <f t="shared" ref="AL74" si="473">AVERAGE(AL7,AL11,AL15,AL18,AL22,AL29,AL36,AL41:AL70)</f>
        <v>3.1307692307692312</v>
      </c>
      <c r="AM74" s="1">
        <f t="shared" ref="AM74" si="474">AVERAGE(AM7,AM11,AM15,AM18,AM22,AM25,AM29,AM36,AM41:AM70)</f>
        <v>2.4928571428571429</v>
      </c>
      <c r="AN74" s="1"/>
      <c r="AO74" s="1">
        <f t="shared" ref="AO74" si="475">AVERAGE(AO7,AO11,AO15,AO18,AO22,AO29,AO36,AO41:AO70)</f>
        <v>3.7846153846153849</v>
      </c>
      <c r="AP74" s="1">
        <f t="shared" ref="AP74" si="476">AVERAGE(AP7,AP11,AP15,AP18,AP22,AP25,AP29,AP36,AP41:AP70)</f>
        <v>2.6142857142857143</v>
      </c>
      <c r="AQ74" s="1"/>
      <c r="AR74" s="1">
        <f t="shared" ref="AR74" si="477">AVERAGE(AR7,AR11,AR15,AR18,AR22,AR29,AR36,AR41:AR70)</f>
        <v>3.3384615384615381</v>
      </c>
      <c r="AS74" s="1">
        <f t="shared" ref="AS74" si="478">AVERAGE(AS7,AS11,AS15,AS18,AS22,AS25,AS29,AS36,AS41:AS70)</f>
        <v>3.5928571428571425</v>
      </c>
      <c r="AT74" s="1"/>
      <c r="AU74" s="1">
        <f t="shared" ref="AU74" si="479">AVERAGE(AU7,AU11,AU15,AU18,AU22,AU29,AU36,AU41:AU70)</f>
        <v>3.3214285714285716</v>
      </c>
      <c r="AV74" s="1">
        <f t="shared" ref="AV74" si="480">AVERAGE(AV7,AV11,AV15,AV18,AV22,AV25,AV29,AV36,AV41:AV70)</f>
        <v>3.7066666666666666</v>
      </c>
      <c r="AW74" s="1"/>
      <c r="AX74" s="1">
        <f t="shared" ref="AX74" si="481">AVERAGE(AX7,AX11,AX15,AX18,AX22,AX29,AX36,AX41:AX70)</f>
        <v>2.5461538461538464</v>
      </c>
      <c r="AY74" s="1">
        <f t="shared" ref="AY74" si="482">AVERAGE(AY7,AY11,AY15,AY18,AY22,AY25,AY29,AY36,AY41:AY70)</f>
        <v>1.7071428571428571</v>
      </c>
      <c r="AZ74" s="1"/>
      <c r="BA74" s="1">
        <f t="shared" ref="BA74" si="483">AVERAGE(BA7,BA11,BA15,BA18,BA22,BA29,BA36,BA41:BA70)</f>
        <v>3.6461538461538461</v>
      </c>
      <c r="BB74" s="1">
        <f t="shared" ref="BB74" si="484">AVERAGE(BB7,BB11,BB15,BB18,BB22,BB25,BB29,BB36,BB41:BB70)</f>
        <v>4.0142857142857142</v>
      </c>
      <c r="BC74" s="1"/>
      <c r="BD74" s="1">
        <f t="shared" ref="BD74" si="485">AVERAGE(BD7,BD11,BD15,BD18,BD22,BD29,BD36,BD41:BD70)</f>
        <v>2.6384615384615384</v>
      </c>
      <c r="BE74" s="1">
        <f t="shared" ref="BE74" si="486">AVERAGE(BE7,BE11,BE15,BE18,BE22,BE25,BE29,BE36,BE41:BE70)</f>
        <v>2.4642857142857144</v>
      </c>
      <c r="BF74" s="1"/>
      <c r="BG74" s="1">
        <f t="shared" ref="BG74" si="487">AVERAGE(BG7,BG11,BG15,BG18,BG22,BG29,BG36,BG41:BG70)</f>
        <v>3.1153846153846154</v>
      </c>
      <c r="BH74" s="1">
        <f t="shared" ref="BH74" si="488">AVERAGE(BH7,BH11,BH15,BH18,BH22,BH25,BH29,BH36,BH41:BH70)</f>
        <v>4.1642857142857137</v>
      </c>
      <c r="BI74" s="1"/>
      <c r="BJ74" s="1">
        <f t="shared" ref="BJ74" si="489">AVERAGE(BJ7,BJ11,BJ15,BJ18,BJ22,BJ29,BJ36,BJ41:BJ70)</f>
        <v>2.976923076923077</v>
      </c>
      <c r="BK74" s="1">
        <f t="shared" ref="BK74" si="490">AVERAGE(BK7,BK11,BK15,BK18,BK22,BK25,BK29,BK36,BK41:BK70)</f>
        <v>2.75</v>
      </c>
      <c r="BL74" s="1"/>
      <c r="BM74" s="1">
        <f t="shared" ref="BM74" si="491">AVERAGE(BM7,BM11,BM15,BM18,BM22,BM29,BM36,BM41:BM70)</f>
        <v>3.4928571428571429</v>
      </c>
      <c r="BN74" s="1">
        <f t="shared" ref="BN74" si="492">AVERAGE(BN7,BN11,BN15,BN18,BN22,BN25,BN29,BN36,BN41:BN70)</f>
        <v>2.3800000000000003</v>
      </c>
      <c r="BO74" s="1"/>
      <c r="BP74" s="1">
        <f t="shared" ref="BP74" si="493">AVERAGE(BP7,BP11,BP15,BP18,BP22,BP29,BP36,BP41:BP70)</f>
        <v>3.5071428571428571</v>
      </c>
      <c r="BQ74" s="1">
        <f t="shared" ref="BQ74" si="494">AVERAGE(BQ7,BQ11,BQ15,BQ18,BQ22,BQ25,BQ29,BQ36,BQ41:BQ70)</f>
        <v>3.7133333333333334</v>
      </c>
      <c r="BR74" s="1"/>
      <c r="BS74" s="1">
        <f t="shared" ref="BS74" si="495">AVERAGE(BS7,BS11,BS15,BS18,BS22,BS29,BS36,BS41:BS70)</f>
        <v>3.5538461538461541</v>
      </c>
      <c r="BT74" s="1">
        <f t="shared" ref="BT74" si="496">AVERAGE(BT7,BT11,BT15,BT18,BT22,BT25,BT29,BT36,BT41:BT70)</f>
        <v>3.0285714285714285</v>
      </c>
      <c r="BU74" s="1"/>
      <c r="BV74" s="1">
        <f t="shared" ref="BV74" si="497">AVERAGE(BV7,BV11,BV15,BV18,BV22,BV29,BV36,BV41:BV70)</f>
        <v>3.6083333333333329</v>
      </c>
      <c r="BW74" s="1">
        <f t="shared" ref="BW74" si="498">AVERAGE(BW7,BW11,BW15,BW18,BW22,BW25,BW29,BW36,BW41:BW70)</f>
        <v>3.1307692307692312</v>
      </c>
      <c r="BX74" s="1"/>
      <c r="BY74" s="1">
        <f t="shared" ref="BY74" si="499">AVERAGE(BY7,BY11,BY15,BY18,BY22,BY29,BY36,BY41:BY70)</f>
        <v>3.0666666666666664</v>
      </c>
      <c r="BZ74" s="1">
        <f t="shared" ref="BZ74" si="500">AVERAGE(BZ7,BZ11,BZ15,BZ18,BZ22,BZ25,BZ29,BZ36,BZ41:BZ70)</f>
        <v>3.2538461538461538</v>
      </c>
      <c r="CA74" s="1"/>
      <c r="CB74" s="1">
        <f t="shared" ref="CB74" si="501">AVERAGE(CB7,CB11,CB15,CB18,CB22,CB29,CB36,CB41:CB70)</f>
        <v>3.2166666666666668</v>
      </c>
      <c r="CC74" s="1">
        <f t="shared" ref="CC74" si="502">AVERAGE(CC7,CC11,CC15,CC18,CC22,CC25,CC29,CC36,CC41:CC70)</f>
        <v>2.7846153846153849</v>
      </c>
      <c r="CD74" s="1"/>
      <c r="CE74" s="1">
        <f t="shared" ref="CE74" si="503">AVERAGE(CE7,CE11,CE15,CE18,CE22,CE29,CE36,CE41:CE70)</f>
        <v>1.8583333333333334</v>
      </c>
      <c r="CF74" s="1">
        <f t="shared" ref="CF74" si="504">AVERAGE(CF7,CF11,CF15,CF18,CF22,CF25,CF29,CF36,CF41:CF70)</f>
        <v>2.3615384615384616</v>
      </c>
      <c r="CG74" s="1"/>
      <c r="CH74" s="1">
        <f t="shared" ref="CH74" si="505">AVERAGE(CH7,CH11,CH15,CH18,CH22,CH29,CH36,CH41:CH70)</f>
        <v>2.4642857142857144</v>
      </c>
      <c r="CI74" s="1">
        <f t="shared" ref="CI74" si="506">AVERAGE(CI7,CI11,CI15,CI18,CI22,CI25,CI29,CI36,CI41:CI70)</f>
        <v>2.92</v>
      </c>
      <c r="CJ74" s="1"/>
      <c r="CK74" s="1">
        <f t="shared" ref="CK74" si="507">AVERAGE(CK7,CK11,CK15,CK18,CK22,CK29,CK36,CK41:CK70)</f>
        <v>2.2923076923076922</v>
      </c>
      <c r="CL74" s="1">
        <f t="shared" ref="CL74" si="508">AVERAGE(CL7,CL11,CL15,CL18,CL22,CL25,CL29,CL36,CL41:CL70)</f>
        <v>3.1428571428571428</v>
      </c>
      <c r="CM74" s="1"/>
      <c r="CN74" s="1">
        <f t="shared" ref="CN74" si="509">AVERAGE(CN7,CN11,CN15,CN18,CN22,CN29,CN36,CN41:CN70)</f>
        <v>3.3642857142857143</v>
      </c>
      <c r="CO74" s="1">
        <f t="shared" ref="CO74" si="510">AVERAGE(CO7,CO11,CO15,CO18,CO22,CO25,CO29,CO36,CO41:CO70)</f>
        <v>3.54</v>
      </c>
      <c r="CP74" s="1"/>
      <c r="CQ74" s="1">
        <f t="shared" ref="CQ74" si="511">AVERAGE(CQ7,CQ11,CQ15,CQ18,CQ22,CQ29,CQ36,CQ41:CQ70)</f>
        <v>3.1769230769230767</v>
      </c>
      <c r="CR74" s="1">
        <f t="shared" ref="CR74" si="512">AVERAGE(CR7,CR11,CR15,CR18,CR22,CR25,CR29,CR36,CR41:CR70)</f>
        <v>1.2928571428571429</v>
      </c>
      <c r="CS74" s="1"/>
      <c r="CT74" s="1">
        <f t="shared" ref="CT74" si="513">AVERAGE(CT7,CT11,CT15,CT18,CT22,CT29,CT36,CT41:CT70)</f>
        <v>2.9333333333333336</v>
      </c>
      <c r="CU74" s="1">
        <f t="shared" ref="CU74" si="514">AVERAGE(CU7,CU11,CU15,CU18,CU22,CU25,CU29,CU36,CU41:CU70)</f>
        <v>2</v>
      </c>
      <c r="CV74" s="1"/>
      <c r="CW74" s="1">
        <f t="shared" ref="CW74" si="515">AVERAGE(CW7,CW11,CW15,CW18,CW22,CW29,CW36,CW41:CW70)</f>
        <v>2.35</v>
      </c>
      <c r="CX74" s="1">
        <f t="shared" ref="CX74" si="516">AVERAGE(CX7,CX11,CX15,CX18,CX22,CX25,CX29,CX36,CX41:CX70)</f>
        <v>2.8466666666666667</v>
      </c>
      <c r="CY74" s="1"/>
      <c r="CZ74" s="1">
        <f t="shared" ref="CZ74" si="517">AVERAGE(CZ7,CZ11,CZ15,CZ18,CZ22,CZ29,CZ36,CZ41:CZ70)</f>
        <v>2.3249999999999997</v>
      </c>
      <c r="DA74" s="1">
        <f t="shared" ref="DA74" si="518">AVERAGE(DA7,DA11,DA15,DA18,DA22,DA25,DA29,DA36,DA41:DA70)</f>
        <v>2.7230769230769232</v>
      </c>
      <c r="DB74" s="1"/>
      <c r="DC74" s="1">
        <f t="shared" ref="DC74" si="519">AVERAGE(DC7,DC11,DC15,DC18,DC22,DC29,DC36,DC41:DC70)</f>
        <v>3.523076923076923</v>
      </c>
      <c r="DD74" s="1">
        <f t="shared" ref="DD74" si="520">AVERAGE(DD7,DD11,DD15,DD18,DD22,DD25,DD29,DD36,DD41:DD70)</f>
        <v>3.4785714285714286</v>
      </c>
    </row>
    <row r="76" spans="1:108" x14ac:dyDescent="0.25">
      <c r="A76" t="s">
        <v>137</v>
      </c>
    </row>
    <row r="77" spans="1:108" x14ac:dyDescent="0.25">
      <c r="A77" t="s">
        <v>4</v>
      </c>
      <c r="B77" s="1">
        <f>AVERAGE(E74,H74,K74,N74,Q74,T74,W74,Z74,AC74,AF74,AI74,AL74,AO74,AR74,AU74,AX74,BA74,BD74,BG74,BJ74,BM74,BP74,BS74,BV74,BY74,CB74,CE74,CH74,CK74,CN74,CQ74,CT74,CW74,CZ74,DC74)</f>
        <v>3.0414102564102561</v>
      </c>
    </row>
    <row r="78" spans="1:108" x14ac:dyDescent="0.25">
      <c r="A78" t="s">
        <v>5</v>
      </c>
      <c r="B78" s="1">
        <f>AVERAGE(F74,I74,L74,O74,R74,U74,X74,AA74,AD74,AG74,AJ74,AM74,AP74,AS74,AV74,AY74,BB74,BE74,BH74,BK74,BN74,BQ74,BT74,BW74,BZ74,CC74,CF74,CI74,CL74,CO74,CR74,CU74,CX74,DA74,DD74)</f>
        <v>2.8797823129251694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TEAM-A++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Lucien Heitz</dc:creator>
  <cp:lastModifiedBy>Lucien Heitz</cp:lastModifiedBy>
  <dcterms:created xsi:type="dcterms:W3CDTF">2026-06-03T14:43:46Z</dcterms:created>
  <dcterms:modified xsi:type="dcterms:W3CDTF">2026-06-03T14:43:50Z</dcterms:modified>
</cp:coreProperties>
</file>